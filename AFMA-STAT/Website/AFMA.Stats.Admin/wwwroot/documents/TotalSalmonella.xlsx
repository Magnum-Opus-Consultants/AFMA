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ear By Month Report" sheetId="1" r:id="rId1"/>
    <sheet name="Yearly Report" sheetId="2" r:id="rId3"/>
    <sheet name="Monthly Report" sheetId="3" r:id="rId4"/>
  </sheets>
  <calcPr fullCalcOnLoad="1"/>
</workbook>
</file>

<file path=xl/sharedStrings.xml><?xml version="1.0" encoding="utf-8"?>
<sst xmlns="http://schemas.openxmlformats.org/spreadsheetml/2006/main" count="307" uniqueCount="307">
  <si>
    <t>Samples Tested</t>
  </si>
  <si>
    <t>Samples Positive</t>
  </si>
  <si>
    <t>Percentage Positive</t>
  </si>
  <si>
    <t>CODE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</si>
  <si>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</si>
  <si>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</si>
  <si>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</si>
  <si>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</si>
  <si>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</si>
  <si>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</si>
  <si>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</si>
  <si>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</si>
  <si>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</si>
  <si>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</si>
  <si>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</si>
  <si>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</si>
  <si>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</si>
  <si>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</si>
  <si>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AVERAGE</t>
  </si>
  <si>
    <t>Raw Material</t>
  </si>
  <si>
    <t/>
  </si>
  <si>
    <t>Finished Product</t>
  </si>
  <si>
    <t>Dust Swab</t>
  </si>
  <si>
    <t>TOTAL SAMPLES1</t>
  </si>
  <si>
    <t>SEASONAL DATA</t>
  </si>
  <si>
    <t>SAMPLE</t>
  </si>
  <si>
    <t>Winter</t>
  </si>
  <si>
    <t>Summer</t>
  </si>
  <si>
    <t>TOTAL SAMPLES</t>
  </si>
  <si>
    <t>FEED INGREDIENT</t>
  </si>
  <si>
    <t>Raw Materials</t>
  </si>
  <si>
    <t>606</t>
  </si>
  <si>
    <t>Additives</t>
  </si>
  <si>
    <t>607</t>
  </si>
  <si>
    <t>Amino Acids (not listed)</t>
  </si>
  <si>
    <t>613</t>
  </si>
  <si>
    <t>Ammonium chloride</t>
  </si>
  <si>
    <t>553</t>
  </si>
  <si>
    <t>Ammonium sulphate</t>
  </si>
  <si>
    <t>557</t>
  </si>
  <si>
    <t>Apple pomace</t>
  </si>
  <si>
    <t>524</t>
  </si>
  <si>
    <t>Bagasse</t>
  </si>
  <si>
    <t>551</t>
  </si>
  <si>
    <t>Barley (All)</t>
  </si>
  <si>
    <t>501</t>
  </si>
  <si>
    <t>Blended oil</t>
  </si>
  <si>
    <t>619</t>
  </si>
  <si>
    <t>Blood meal (bovine) - Imported</t>
  </si>
  <si>
    <t>618</t>
  </si>
  <si>
    <t>Blood meal (bovine) - Local</t>
  </si>
  <si>
    <t>621</t>
  </si>
  <si>
    <t>Blood meal (porcine) - Imported</t>
  </si>
  <si>
    <t>620</t>
  </si>
  <si>
    <t>Blood meal (porcine) - Local</t>
  </si>
  <si>
    <t>503</t>
  </si>
  <si>
    <t>Blood meal (poultry) - Imported</t>
  </si>
  <si>
    <t>610</t>
  </si>
  <si>
    <t>Blood meal (poultry) - Local</t>
  </si>
  <si>
    <t>504</t>
  </si>
  <si>
    <t>Brewers grain</t>
  </si>
  <si>
    <t>558</t>
  </si>
  <si>
    <t>Canola fullfat</t>
  </si>
  <si>
    <t>614</t>
  </si>
  <si>
    <t>Canola oil</t>
  </si>
  <si>
    <t>566</t>
  </si>
  <si>
    <t>Canola oilcake - Imported</t>
  </si>
  <si>
    <t>565</t>
  </si>
  <si>
    <t>Canola oilcake - Local</t>
  </si>
  <si>
    <t>511</t>
  </si>
  <si>
    <t>Carcass Meal</t>
  </si>
  <si>
    <t>525</t>
  </si>
  <si>
    <t>Cassava meal</t>
  </si>
  <si>
    <t>700</t>
  </si>
  <si>
    <t>Choline chloride</t>
  </si>
  <si>
    <t>526</t>
  </si>
  <si>
    <t>Citrus meal</t>
  </si>
  <si>
    <t>563</t>
  </si>
  <si>
    <t>CMS</t>
  </si>
  <si>
    <t>582</t>
  </si>
  <si>
    <t>Copra oilcake products</t>
  </si>
  <si>
    <t>568</t>
  </si>
  <si>
    <t>Cotton Oilcake (Imported)</t>
  </si>
  <si>
    <t>567</t>
  </si>
  <si>
    <t>Cotton Oilcake (Local)</t>
  </si>
  <si>
    <t>570</t>
  </si>
  <si>
    <t>Cotton Seed (Imported)</t>
  </si>
  <si>
    <t>569</t>
  </si>
  <si>
    <t>Cotton Seed (Local)</t>
  </si>
  <si>
    <t>549</t>
  </si>
  <si>
    <t>Defatted Maize Germ</t>
  </si>
  <si>
    <t>552</t>
  </si>
  <si>
    <t>Dicalcium Phosphate</t>
  </si>
  <si>
    <t>521</t>
  </si>
  <si>
    <t>Fat / Vet (TALLOW)</t>
  </si>
  <si>
    <t>520</t>
  </si>
  <si>
    <t>Feather Meal - Local</t>
  </si>
  <si>
    <t>528</t>
  </si>
  <si>
    <t>Feed Wheat</t>
  </si>
  <si>
    <t>572</t>
  </si>
  <si>
    <t>Fish Meal (Imported)</t>
  </si>
  <si>
    <t>571</t>
  </si>
  <si>
    <t>Fish Meal (Local)</t>
  </si>
  <si>
    <t>529</t>
  </si>
  <si>
    <t>Groundnut Hay</t>
  </si>
  <si>
    <t>574</t>
  </si>
  <si>
    <t>Groundnut Oilcake (Imported)</t>
  </si>
  <si>
    <t>573</t>
  </si>
  <si>
    <t>Groundnut Oilcake (Local)</t>
  </si>
  <si>
    <t>510</t>
  </si>
  <si>
    <t>Hominy Chop</t>
  </si>
  <si>
    <t>530</t>
  </si>
  <si>
    <t>Limestone Grit</t>
  </si>
  <si>
    <t>531</t>
  </si>
  <si>
    <t>Limestone Powder</t>
  </si>
  <si>
    <t>532</t>
  </si>
  <si>
    <t>Lucerne Hay</t>
  </si>
  <si>
    <t>533</t>
  </si>
  <si>
    <t>Lucerne Meal / Lucerne Pellets</t>
  </si>
  <si>
    <t>583</t>
  </si>
  <si>
    <t>Lupin Fullfat</t>
  </si>
  <si>
    <t>512</t>
  </si>
  <si>
    <t>Lupin Meal</t>
  </si>
  <si>
    <t>559</t>
  </si>
  <si>
    <t>Lysine</t>
  </si>
  <si>
    <t>523</t>
  </si>
  <si>
    <t>Maize (White) - Local</t>
  </si>
  <si>
    <t>617</t>
  </si>
  <si>
    <t>Maize (Yellow) – Imported</t>
  </si>
  <si>
    <t>623</t>
  </si>
  <si>
    <t>Maize (Yellow) - Local</t>
  </si>
  <si>
    <t>630</t>
  </si>
  <si>
    <t>Maize Cooked</t>
  </si>
  <si>
    <t>548</t>
  </si>
  <si>
    <t>Maize Germ</t>
  </si>
  <si>
    <t>550</t>
  </si>
  <si>
    <t>Maize Germ Oilcake</t>
  </si>
  <si>
    <t>535</t>
  </si>
  <si>
    <t>Maize Gluten Meal (20%)</t>
  </si>
  <si>
    <t>514</t>
  </si>
  <si>
    <t>Maize Gluten Meal (60%)</t>
  </si>
  <si>
    <t>560</t>
  </si>
  <si>
    <t>Maize Meal</t>
  </si>
  <si>
    <t>534</t>
  </si>
  <si>
    <t>Maize Screenings</t>
  </si>
  <si>
    <t>519</t>
  </si>
  <si>
    <t>Meat &amp; Bone Meal</t>
  </si>
  <si>
    <t>624</t>
  </si>
  <si>
    <t xml:space="preserve">Meat and Bone Meal (bovine) - Imported </t>
  </si>
  <si>
    <t>625</t>
  </si>
  <si>
    <t>Meat and Bone Meal (bovine) - Local</t>
  </si>
  <si>
    <t>622</t>
  </si>
  <si>
    <t>Meat and Bone Meal (ovine) - Imported</t>
  </si>
  <si>
    <t>629</t>
  </si>
  <si>
    <t>Meat and Bone Meal (ovine) - Local</t>
  </si>
  <si>
    <t>612</t>
  </si>
  <si>
    <t>Meat and Bone Meal (porcine) - Imported</t>
  </si>
  <si>
    <t>611</t>
  </si>
  <si>
    <t>Meat and Bone Meal (porcine) - Local</t>
  </si>
  <si>
    <t>561</t>
  </si>
  <si>
    <t>Medicaments</t>
  </si>
  <si>
    <t>562</t>
  </si>
  <si>
    <t>Methionine</t>
  </si>
  <si>
    <t>631</t>
  </si>
  <si>
    <t>Minerals (not listed)</t>
  </si>
  <si>
    <t>536</t>
  </si>
  <si>
    <t>Molasses</t>
  </si>
  <si>
    <t>615</t>
  </si>
  <si>
    <t xml:space="preserve">Monoammonium phosphate  </t>
  </si>
  <si>
    <t>537</t>
  </si>
  <si>
    <t>Monocalcium Phosphate</t>
  </si>
  <si>
    <t>538</t>
  </si>
  <si>
    <t>Oats</t>
  </si>
  <si>
    <t>598</t>
  </si>
  <si>
    <t>Other Raw Material</t>
  </si>
  <si>
    <t>580</t>
  </si>
  <si>
    <t>Palm Kernel Oilcake</t>
  </si>
  <si>
    <t>539</t>
  </si>
  <si>
    <t>Plant Oil</t>
  </si>
  <si>
    <t>515</t>
  </si>
  <si>
    <t>Poultry By-Product meal - Local</t>
  </si>
  <si>
    <t>627</t>
  </si>
  <si>
    <t>Poultry Meal - Imported</t>
  </si>
  <si>
    <t>626</t>
  </si>
  <si>
    <t>Poultry Meal - Local</t>
  </si>
  <si>
    <t>556</t>
  </si>
  <si>
    <t>Premixes</t>
  </si>
  <si>
    <t>605</t>
  </si>
  <si>
    <t>Remix/Reworks</t>
  </si>
  <si>
    <t>603</t>
  </si>
  <si>
    <t>Rice</t>
  </si>
  <si>
    <t>546</t>
  </si>
  <si>
    <t>Rice Bran</t>
  </si>
  <si>
    <t>540</t>
  </si>
  <si>
    <t>Salt</t>
  </si>
  <si>
    <t>545</t>
  </si>
  <si>
    <t>Shell Grit</t>
  </si>
  <si>
    <t>555</t>
  </si>
  <si>
    <t>Sodium Bicarbonate</t>
  </si>
  <si>
    <t>508</t>
  </si>
  <si>
    <t>Sorghum</t>
  </si>
  <si>
    <t>602</t>
  </si>
  <si>
    <t>Soya Beans</t>
  </si>
  <si>
    <t>522</t>
  </si>
  <si>
    <t>Soya Fullfat</t>
  </si>
  <si>
    <t>601</t>
  </si>
  <si>
    <t>Soya Hulls</t>
  </si>
  <si>
    <t>628</t>
  </si>
  <si>
    <t>Soya Oil</t>
  </si>
  <si>
    <t>576</t>
  </si>
  <si>
    <t>Soya Oilcake (Imported)</t>
  </si>
  <si>
    <t>575</t>
  </si>
  <si>
    <t>Soya Oilcake (Local)</t>
  </si>
  <si>
    <t>554</t>
  </si>
  <si>
    <t>Sterilised Poultry Manure</t>
  </si>
  <si>
    <t>541</t>
  </si>
  <si>
    <t>Sunflower Hulls</t>
  </si>
  <si>
    <t>578</t>
  </si>
  <si>
    <t>Sunflower Oilcake (Imported)</t>
  </si>
  <si>
    <t>577</t>
  </si>
  <si>
    <t>Sunflower Oilcake (Local)</t>
  </si>
  <si>
    <t>581</t>
  </si>
  <si>
    <t>Sunflower Seed</t>
  </si>
  <si>
    <t>609</t>
  </si>
  <si>
    <t>Teff Hay</t>
  </si>
  <si>
    <t>584</t>
  </si>
  <si>
    <t>Threonine</t>
  </si>
  <si>
    <t>547</t>
  </si>
  <si>
    <t>Triticale</t>
  </si>
  <si>
    <t>542</t>
  </si>
  <si>
    <t>Urea</t>
  </si>
  <si>
    <t>608</t>
  </si>
  <si>
    <t>Vitamins</t>
  </si>
  <si>
    <t>604</t>
  </si>
  <si>
    <t>Wheat</t>
  </si>
  <si>
    <t>516</t>
  </si>
  <si>
    <t>Wheaten Bran</t>
  </si>
  <si>
    <t>564</t>
  </si>
  <si>
    <t>Wheaten Flour</t>
  </si>
  <si>
    <t>543</t>
  </si>
  <si>
    <t>Wheaten Straw</t>
  </si>
  <si>
    <t>616</t>
  </si>
  <si>
    <t>Whey Powder</t>
  </si>
  <si>
    <t>544</t>
  </si>
  <si>
    <t>White Fish Meal</t>
  </si>
  <si>
    <t>TOTALS</t>
  </si>
  <si>
    <t>011</t>
  </si>
  <si>
    <t>Aquaculture Feed</t>
  </si>
  <si>
    <t>002</t>
  </si>
  <si>
    <t>Beef &amp; Sheep Feed</t>
  </si>
  <si>
    <t>010</t>
  </si>
  <si>
    <t>Breeder Feed</t>
  </si>
  <si>
    <t>005</t>
  </si>
  <si>
    <t>Broiler Feed</t>
  </si>
  <si>
    <t>014</t>
  </si>
  <si>
    <t>Concentrate/Supplement</t>
  </si>
  <si>
    <t>001</t>
  </si>
  <si>
    <t>Dairy Feed</t>
  </si>
  <si>
    <t>007</t>
  </si>
  <si>
    <t>Dog Food</t>
  </si>
  <si>
    <t>130</t>
  </si>
  <si>
    <t>Game Feed</t>
  </si>
  <si>
    <t>006</t>
  </si>
  <si>
    <t>Horse Feed</t>
  </si>
  <si>
    <t>004</t>
  </si>
  <si>
    <t>Layer Feed</t>
  </si>
  <si>
    <t>009</t>
  </si>
  <si>
    <t>Maize-free Feed</t>
  </si>
  <si>
    <t>012</t>
  </si>
  <si>
    <t>Ostrich Feed</t>
  </si>
  <si>
    <t>008</t>
  </si>
  <si>
    <t>Other Feed</t>
  </si>
  <si>
    <t>003</t>
  </si>
  <si>
    <t>Pig Feed</t>
  </si>
  <si>
    <t>118</t>
  </si>
  <si>
    <t>Rabbit Feed</t>
  </si>
  <si>
    <t>Dust Swabs</t>
  </si>
  <si>
    <t>Buildings</t>
  </si>
  <si>
    <t>Dust Swab Not Identified</t>
  </si>
  <si>
    <t>Intake Area</t>
  </si>
  <si>
    <t>Other</t>
  </si>
  <si>
    <t>Outloading Area</t>
  </si>
  <si>
    <t>Personnel</t>
  </si>
  <si>
    <t>Processing Area</t>
  </si>
  <si>
    <t>Storage Area</t>
  </si>
  <si>
    <t>Trucks</t>
  </si>
  <si>
    <t>Waste Site</t>
  </si>
  <si>
    <t>Weigh Area</t>
  </si>
  <si>
    <t>CATEGORY</t>
  </si>
  <si>
    <t>Animal Protein</t>
  </si>
  <si>
    <t>Grain</t>
  </si>
  <si>
    <t>Grain Byproducts</t>
  </si>
  <si>
    <t>Oil and Fat</t>
  </si>
  <si>
    <t>Plant Protein</t>
  </si>
  <si>
    <t>Premix and Minerals</t>
  </si>
  <si>
    <t>Roughage</t>
  </si>
  <si>
    <t>PRODUCT GROUP</t>
  </si>
  <si>
    <t>Dairy, Beef and Sheep</t>
  </si>
  <si>
    <t>Monogastric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</si>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</sst>
</file>

<file path=xl/styles.xml><?xml version="1.0" encoding="utf-8"?>
<styleSheet xmlns="http://schemas.openxmlformats.org/spreadsheetml/2006/main">
  <numFmts count="1">
    <numFmt numFmtId="164" formatCode="#,#"/>
  </numFmts>
  <fonts count="6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FFFFFF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999999" tint="0"/>
      </patternFill>
    </fill>
    <fill>
      <patternFill patternType="solid">
        <fgColor rgb="FFC0504D" tint="0"/>
      </patternFill>
    </fill>
    <fill>
      <patternFill patternType="solid">
        <fgColor rgb="FF82BC4F" tint="0"/>
      </patternFill>
    </fill>
    <fill>
      <patternFill patternType="solid">
        <fgColor rgb="FF556B2F" tint="0"/>
      </patternFill>
    </fill>
    <fill>
      <patternFill patternType="solid">
        <fgColor rgb="FF4F81BD" tint="0"/>
      </patternFill>
    </fill>
    <fill>
      <patternFill patternType="solid">
        <fgColor rgb="FFF5F5F5" tint="0"/>
      </patternFill>
    </fill>
  </fills>
  <borders count="5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4">
    <xf numFmtId="0" applyNumberFormat="1" fontId="0" applyFont="1" xfId="0"/>
    <xf numFmtId="0" applyNumberFormat="1" fontId="2" applyFont="1" fillId="2" applyFill="1" xfId="0">
      <alignment horizontal="center" vertical="center"/>
    </xf>
    <xf numFmtId="0" applyNumberFormat="1" fontId="0" applyFont="1" borderId="1" applyBorder="1" xfId="0"/>
    <xf numFmtId="0" applyNumberFormat="1" fontId="2" applyFont="1" fillId="2" applyFill="1" borderId="2" applyBorder="1" xfId="0">
      <alignment horizontal="center" vertical="center"/>
    </xf>
    <xf numFmtId="0" applyNumberFormat="1" fontId="0" applyFont="1" borderId="3" applyBorder="1" xfId="0"/>
    <xf numFmtId="0" applyNumberFormat="1" fontId="3" applyFont="1" fillId="3" applyFill="1" xfId="0">
      <alignment horizontal="center" vertical="center"/>
    </xf>
    <xf numFmtId="0" applyNumberFormat="1" fontId="3" applyFont="1" fillId="3" applyFill="1" xfId="0"/>
    <xf numFmtId="0" applyNumberFormat="1" fontId="3" applyFont="1" fillId="3" applyFill="1" xfId="0">
      <alignment horizontal="center"/>
    </xf>
    <xf numFmtId="0" applyNumberFormat="1" fontId="3" applyFont="1" fillId="3" applyFill="1" borderId="4" applyBorder="1" xfId="0">
      <alignment horizontal="center" vertical="center"/>
    </xf>
    <xf numFmtId="0" applyNumberFormat="1" fontId="3" applyFont="1" fillId="4" applyFill="1" borderId="4" applyBorder="1" xfId="0">
      <alignment horizontal="center" vertical="center"/>
    </xf>
    <xf numFmtId="0" applyNumberFormat="1" fontId="0" applyFont="1" fillId="5" applyFill="1" xfId="0"/>
    <xf numFmtId="0" applyNumberFormat="1" fontId="3" applyFont="1" fillId="6" applyFill="1" xfId="0"/>
    <xf numFmtId="0" applyNumberFormat="1" fontId="0" applyFont="1" borderId="4" applyBorder="1" xfId="0"/>
    <xf numFmtId="164" applyNumberFormat="1" fontId="0" applyFont="1" borderId="4" applyBorder="1" xfId="0"/>
    <xf numFmtId="164" applyNumberFormat="1" fontId="0" applyFont="1" fillId="7" applyFill="1" borderId="4" applyBorder="1" xfId="0"/>
    <xf numFmtId="0" applyNumberFormat="1" fontId="3" applyFont="1" fillId="5" applyFill="1" xfId="0">
      <alignment horizontal="right"/>
    </xf>
    <xf numFmtId="0" applyNumberFormat="1" fontId="5" applyFont="1" fillId="7" applyFill="1" borderId="4" applyBorder="1" xfId="0">
      <alignment horizontal="right"/>
    </xf>
    <xf numFmtId="164" applyNumberFormat="1" fontId="5" applyFont="1" fillId="7" applyFill="1" borderId="4" applyBorder="1" xfId="0">
      <alignment horizontal="right"/>
    </xf>
    <xf numFmtId="0" applyNumberFormat="1" fontId="1" applyFont="1" fillId="7" applyFill="1" borderId="4" applyBorder="1" xfId="0"/>
    <xf numFmtId="164" applyNumberFormat="1" fontId="1" applyFont="1" fillId="7" applyFill="1" borderId="4" applyBorder="1" xfId="0"/>
    <xf numFmtId="0" applyNumberFormat="1" fontId="3" applyFont="1" fillId="5" applyFill="1" borderId="2" applyBorder="1" xfId="0">
      <alignment horizontal="center"/>
    </xf>
    <xf numFmtId="0" applyNumberFormat="1" fontId="2" applyFont="1" fillId="4" applyFill="1" borderId="4" applyBorder="1" xfId="0">
      <alignment horizontal="center" vertical="center"/>
    </xf>
    <xf numFmtId="0" applyNumberFormat="1" fontId="3" applyFont="1" fillId="2" applyFill="1" borderId="4" applyBorder="1" xfId="0"/>
    <xf numFmtId="0" applyNumberFormat="1" fontId="3" applyFont="1" fillId="6" applyFill="1" borderId="4" applyBorder="1" xfId="0"/>
    <xf numFmtId="0" applyNumberFormat="1" fontId="3" applyFont="1" fillId="5" applyFill="1" borderId="4" applyBorder="1" xfId="0">
      <alignment horizontal="right"/>
    </xf>
    <xf numFmtId="0" applyNumberFormat="1" fontId="3" applyFont="1" fillId="3" applyFill="1" xfId="0">
      <alignment vertical="center"/>
    </xf>
    <xf numFmtId="0" applyNumberFormat="1" fontId="3" applyFont="1" fillId="5" applyFill="1" xfId="0">
      <alignment horizontal="center"/>
    </xf>
    <xf numFmtId="0" applyNumberFormat="1" fontId="3" applyFont="1" fillId="6" applyFill="1" borderId="2" applyBorder="1" xfId="0"/>
    <xf numFmtId="0" applyNumberFormat="1" fontId="3" applyFont="1" fillId="5" applyFill="1" borderId="4" applyBorder="1" xfId="0">
      <alignment horizontal="center"/>
    </xf>
    <xf numFmtId="0" applyNumberFormat="1" fontId="2" applyFont="1" fillId="2" applyFill="1" borderId="2" applyBorder="1" xfId="0">
      <alignment horizontal="center"/>
    </xf>
    <xf numFmtId="0" applyNumberFormat="1" fontId="3" applyFont="1" fillId="2" applyFill="1" xfId="0"/>
    <xf numFmtId="164" applyNumberFormat="1" fontId="0" applyFont="1" borderId="4" applyBorder="1" xfId="0">
      <alignment horizontal="center"/>
    </xf>
    <xf numFmtId="0" applyNumberFormat="1" fontId="4" applyFont="1" xfId="0">
      <alignment horizontal="left"/>
    </xf>
    <xf numFmtId="0" applyNumberFormat="1" fontId="5" applyFont="1" xfId="0"/>
    <xf numFmtId="0" applyNumberFormat="1" fontId="0" applyFont="1" xfId="0">
      <alignment vertical="center"/>
    </xf>
    <xf numFmtId="0" applyNumberFormat="1" fontId="0" applyFont="1" xfId="0">
      <alignment vertical="center" textRotation="90"/>
    </xf>
    <xf numFmtId="0" applyNumberFormat="1" fontId="0" applyFont="1" borderId="1" applyBorder="1" xfId="0">
      <alignment vertical="center"/>
    </xf>
    <xf numFmtId="0" applyNumberFormat="1" fontId="0" applyFont="1" borderId="3" applyBorder="1" xfId="0">
      <alignment vertical="center"/>
    </xf>
    <xf numFmtId="0" applyNumberFormat="1" fontId="3" applyFont="1" fillId="2" applyFill="1" borderId="4" applyBorder="1" xfId="0">
      <alignment horizontal="center" vertical="center"/>
    </xf>
    <xf numFmtId="0" applyNumberFormat="1" fontId="3" applyFont="1" fillId="3" applyFill="1" borderId="4" applyBorder="1" xfId="0">
      <alignment vertical="center" textRotation="90"/>
    </xf>
    <xf numFmtId="0" applyNumberFormat="1" fontId="3" applyFont="1" fillId="3" applyFill="1" borderId="4" applyBorder="1" xfId="0">
      <alignment vertical="center"/>
    </xf>
    <xf numFmtId="0" applyNumberFormat="1" fontId="3" applyFont="1" fillId="3" applyFill="1" borderId="4" applyBorder="1" xfId="0">
      <alignment horizontal="center" textRotation="90"/>
    </xf>
    <xf numFmtId="0" applyNumberFormat="1" fontId="3" applyFont="1" fillId="3" applyFill="1" borderId="4" applyBorder="1" xfId="0">
      <alignment horizontal="center" vertical="center" textRotation="90"/>
    </xf>
    <xf numFmtId="0" applyNumberFormat="1" fontId="3" applyFont="1" fillId="5" applyFill="1" borderId="4" applyBorder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R32"/>
  <sheetViews>
    <sheetView workbookViewId="0"/>
  </sheetViews>
  <sheetFormatPr defaultRowHeight="15"/>
  <cols>
    <col min="1" max="1" width="17" customWidth="1"/>
  </cols>
  <sheetData>
    <row r="1" ht="28" customHeight="1">
      <c r="C1" s="3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4"/>
      <c r="Q1" s="3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4"/>
      <c r="AE1" s="3" t="s">
        <v>2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4"/>
    </row>
    <row r="2" ht="25" customHeight="1">
      <c r="A2" s="5" t="s">
        <v>3</v>
      </c>
      <c r="B2" s="8" t="s">
        <v>4</v>
      </c>
      <c r="C2" s="8" t="s">
        <v>5</v>
      </c>
      <c r="D2" s="8" t="s">
        <v>6</v>
      </c>
      <c r="E2" s="8" t="s">
        <v>7</v>
      </c>
      <c r="F2" s="9" t="s">
        <v>8</v>
      </c>
      <c r="G2" s="9" t="s">
        <v>9</v>
      </c>
      <c r="H2" s="9" t="s">
        <v>10</v>
      </c>
      <c r="I2" s="9" t="s">
        <v>11</v>
      </c>
      <c r="J2" s="9" t="s">
        <v>12</v>
      </c>
      <c r="K2" s="8" t="s">
        <v>13</v>
      </c>
      <c r="L2" s="8" t="s">
        <v>14</v>
      </c>
      <c r="M2" s="8" t="s">
        <v>15</v>
      </c>
      <c r="N2" s="8" t="s">
        <v>16</v>
      </c>
      <c r="O2" s="8" t="s">
        <v>17</v>
      </c>
      <c r="Q2" s="8" t="s">
        <v>5</v>
      </c>
      <c r="R2" s="8" t="s">
        <v>6</v>
      </c>
      <c r="S2" s="8" t="s">
        <v>7</v>
      </c>
      <c r="T2" s="9" t="s">
        <v>8</v>
      </c>
      <c r="U2" s="9" t="s">
        <v>9</v>
      </c>
      <c r="V2" s="9" t="s">
        <v>10</v>
      </c>
      <c r="W2" s="9" t="s">
        <v>11</v>
      </c>
      <c r="X2" s="9" t="s">
        <v>12</v>
      </c>
      <c r="Y2" s="8" t="s">
        <v>13</v>
      </c>
      <c r="Z2" s="8" t="s">
        <v>14</v>
      </c>
      <c r="AA2" s="8" t="s">
        <v>15</v>
      </c>
      <c r="AB2" s="8" t="s">
        <v>16</v>
      </c>
      <c r="AC2" s="8" t="s">
        <v>17</v>
      </c>
      <c r="AE2" s="8" t="s">
        <v>5</v>
      </c>
      <c r="AF2" s="8" t="s">
        <v>6</v>
      </c>
      <c r="AG2" s="8" t="s">
        <v>7</v>
      </c>
      <c r="AH2" s="9" t="s">
        <v>8</v>
      </c>
      <c r="AI2" s="9" t="s">
        <v>9</v>
      </c>
      <c r="AJ2" s="9" t="s">
        <v>10</v>
      </c>
      <c r="AK2" s="9" t="s">
        <v>11</v>
      </c>
      <c r="AL2" s="9" t="s">
        <v>12</v>
      </c>
      <c r="AM2" s="8" t="s">
        <v>13</v>
      </c>
      <c r="AN2" s="8" t="s">
        <v>14</v>
      </c>
      <c r="AO2" s="8" t="s">
        <v>15</v>
      </c>
      <c r="AP2" s="8" t="s">
        <v>16</v>
      </c>
      <c r="AQ2" s="8" t="s">
        <v>18</v>
      </c>
    </row>
    <row r="3">
      <c r="A3" s="10"/>
      <c r="B3" s="11" t="s">
        <v>19</v>
      </c>
    </row>
    <row r="4">
      <c r="A4" s="10"/>
      <c r="B4" s="12">
        <v>2022</v>
      </c>
      <c r="C4" s="13">
        <v>525</v>
      </c>
      <c r="D4" s="13">
        <v>513</v>
      </c>
      <c r="E4" s="13">
        <v>516</v>
      </c>
      <c r="F4" s="13">
        <v>498</v>
      </c>
      <c r="G4" s="13">
        <v>474</v>
      </c>
      <c r="H4" s="13">
        <v>492</v>
      </c>
      <c r="I4" s="13">
        <v>338</v>
      </c>
      <c r="J4" s="13">
        <v>30</v>
      </c>
      <c r="K4" s="12" t="s">
        <v>20</v>
      </c>
      <c r="L4" s="12" t="s">
        <v>20</v>
      </c>
      <c r="M4" s="12" t="s">
        <v>20</v>
      </c>
      <c r="N4" s="12" t="s">
        <v>20</v>
      </c>
      <c r="O4" s="14">
        <f>SUM(C4:N4)</f>
      </c>
      <c r="Q4" s="13">
        <v>10</v>
      </c>
      <c r="R4" s="13">
        <v>9</v>
      </c>
      <c r="S4" s="13">
        <v>7</v>
      </c>
      <c r="T4" s="13">
        <v>18</v>
      </c>
      <c r="U4" s="13">
        <v>16</v>
      </c>
      <c r="V4" s="13">
        <v>22</v>
      </c>
      <c r="W4" s="13">
        <v>14</v>
      </c>
      <c r="X4" s="13">
        <v>2</v>
      </c>
      <c r="Y4" s="12" t="s">
        <v>20</v>
      </c>
      <c r="Z4" s="12" t="s">
        <v>20</v>
      </c>
      <c r="AA4" s="12" t="s">
        <v>20</v>
      </c>
      <c r="AB4" s="12" t="s">
        <v>20</v>
      </c>
      <c r="AC4" s="14">
        <f>SUM(Q4:AB4)</f>
      </c>
      <c r="AE4" s="13">
        <v>1.9047619104385376</v>
      </c>
      <c r="AF4" s="13">
        <v>1.7543859481811523</v>
      </c>
      <c r="AG4" s="13">
        <v>1.3565891981124878</v>
      </c>
      <c r="AH4" s="13">
        <v>3.6144578456878662</v>
      </c>
      <c r="AI4" s="13">
        <v>3.3755273818969727</v>
      </c>
      <c r="AJ4" s="13">
        <v>4.4715447425842285</v>
      </c>
      <c r="AK4" s="13">
        <v>4.1420116424560547</v>
      </c>
      <c r="AL4" s="13">
        <v>6.6666665077209473</v>
      </c>
      <c r="AM4" s="12" t="s">
        <v>20</v>
      </c>
      <c r="AN4" s="12" t="s">
        <v>20</v>
      </c>
      <c r="AO4" s="12" t="s">
        <v>20</v>
      </c>
      <c r="AP4" s="12" t="s">
        <v>20</v>
      </c>
      <c r="AQ4" s="14">
        <f>(AC4/O4)*100</f>
      </c>
    </row>
    <row r="5">
      <c r="A5" s="15" t="s">
        <v>17</v>
      </c>
      <c r="C5" s="16">
        <f>=SUM(C4:C4)</f>
      </c>
      <c r="D5" s="16">
        <f>=SUM(D4:D4)</f>
      </c>
      <c r="E5" s="16">
        <f>=SUM(E4:E4)</f>
      </c>
      <c r="F5" s="16">
        <f>=SUM(F4:F4)</f>
      </c>
      <c r="G5" s="16">
        <f>=SUM(G4:G4)</f>
      </c>
      <c r="H5" s="16">
        <f>=SUM(H4:H4)</f>
      </c>
      <c r="I5" s="16">
        <f>=SUM(I4:I4)</f>
      </c>
      <c r="J5" s="16">
        <f>=SUM(J4:J4)</f>
      </c>
      <c r="K5" s="16">
        <f>=SUM(K4:K4)</f>
      </c>
      <c r="L5" s="16">
        <f>=SUM(L4:L4)</f>
      </c>
      <c r="M5" s="16">
        <f>=SUM(M4:M4)</f>
      </c>
      <c r="N5" s="16">
        <f>=SUM(N4:N4)</f>
      </c>
      <c r="O5" s="16">
        <f>=SUM(O4:O4)</f>
      </c>
      <c r="Q5" s="17">
        <f>=SUM(Q4:Q4)</f>
      </c>
      <c r="R5" s="17">
        <f>=SUM(R4:R4)</f>
      </c>
      <c r="S5" s="17">
        <f>=SUM(S4:S4)</f>
      </c>
      <c r="T5" s="17">
        <f>=SUM(T4:T4)</f>
      </c>
      <c r="U5" s="17">
        <f>=SUM(U4:U4)</f>
      </c>
      <c r="V5" s="17">
        <f>=SUM(V4:V4)</f>
      </c>
      <c r="W5" s="17">
        <f>=SUM(W4:W4)</f>
      </c>
      <c r="X5" s="17">
        <f>=SUM(X4:X4)</f>
      </c>
      <c r="Y5" s="17">
        <f>=SUM(Y4:Y4)</f>
      </c>
      <c r="Z5" s="17">
        <f>=SUM(Z4:Z4)</f>
      </c>
      <c r="AA5" s="17">
        <f>=SUM(AA4:AA4)</f>
      </c>
      <c r="AB5" s="17">
        <f>=SUM(AB4:AB4)</f>
      </c>
      <c r="AC5" s="17">
        <f>=SUM(AC4:AC4)</f>
      </c>
      <c r="AE5" s="17">
        <f>(Q5/C5)*100</f>
      </c>
      <c r="AF5" s="17">
        <f>(R5/D5)*100</f>
      </c>
      <c r="AG5" s="17">
        <f>(S5/E5)*100</f>
      </c>
      <c r="AH5" s="17">
        <f>(T5/F5)*100</f>
      </c>
      <c r="AI5" s="17">
        <f>(U5/G5)*100</f>
      </c>
      <c r="AJ5" s="17">
        <f>(V5/H5)*100</f>
      </c>
      <c r="AK5" s="17">
        <f>(W5/I5)*100</f>
      </c>
      <c r="AL5" s="17">
        <f>(X5/J5)*100</f>
      </c>
      <c r="AM5" s="17">
        <f>(Y5/K5)*100</f>
      </c>
      <c r="AN5" s="17">
        <f>(Z5/L5)*100</f>
      </c>
      <c r="AO5" s="17">
        <f>(AA5/M5)*100</f>
      </c>
      <c r="AP5" s="17">
        <f>(AB5/N5)*100</f>
      </c>
      <c r="AQ5" s="17">
        <f>(AC5/O5)*100</f>
      </c>
    </row>
    <row r="7">
      <c r="A7" s="10"/>
      <c r="B7" s="11" t="s">
        <v>21</v>
      </c>
    </row>
    <row r="8">
      <c r="A8" s="10"/>
      <c r="B8" s="12">
        <v>2022</v>
      </c>
      <c r="C8" s="13">
        <v>378</v>
      </c>
      <c r="D8" s="13">
        <v>398</v>
      </c>
      <c r="E8" s="13">
        <v>343</v>
      </c>
      <c r="F8" s="13">
        <v>362</v>
      </c>
      <c r="G8" s="13">
        <v>401</v>
      </c>
      <c r="H8" s="13">
        <v>449</v>
      </c>
      <c r="I8" s="13">
        <v>314</v>
      </c>
      <c r="J8" s="13">
        <v>21</v>
      </c>
      <c r="K8" s="12" t="s">
        <v>20</v>
      </c>
      <c r="L8" s="12" t="s">
        <v>20</v>
      </c>
      <c r="M8" s="12" t="s">
        <v>20</v>
      </c>
      <c r="N8" s="12" t="s">
        <v>20</v>
      </c>
      <c r="O8" s="14">
        <f>SUM(C8:N8)</f>
      </c>
      <c r="Q8" s="13">
        <v>3</v>
      </c>
      <c r="R8" s="13">
        <v>1</v>
      </c>
      <c r="S8" s="13">
        <v>1</v>
      </c>
      <c r="T8" s="13">
        <v>18</v>
      </c>
      <c r="U8" s="13">
        <v>4</v>
      </c>
      <c r="V8" s="13">
        <v>3</v>
      </c>
      <c r="W8" s="12" t="s">
        <v>20</v>
      </c>
      <c r="X8" s="12" t="s">
        <v>20</v>
      </c>
      <c r="Y8" s="12" t="s">
        <v>20</v>
      </c>
      <c r="Z8" s="12" t="s">
        <v>20</v>
      </c>
      <c r="AA8" s="12" t="s">
        <v>20</v>
      </c>
      <c r="AB8" s="12" t="s">
        <v>20</v>
      </c>
      <c r="AC8" s="14">
        <f>SUM(Q8:AB8)</f>
      </c>
      <c r="AE8" s="13">
        <v>0.79365080595016479</v>
      </c>
      <c r="AF8" s="13">
        <v>0.25125628709793091</v>
      </c>
      <c r="AG8" s="13">
        <v>0.29154518246650696</v>
      </c>
      <c r="AH8" s="13">
        <v>4.9723758697509766</v>
      </c>
      <c r="AI8" s="13">
        <v>0.99750626087188721</v>
      </c>
      <c r="AJ8" s="13">
        <v>0.66815143823623657</v>
      </c>
      <c r="AK8" s="12" t="s">
        <v>20</v>
      </c>
      <c r="AL8" s="12" t="s">
        <v>20</v>
      </c>
      <c r="AM8" s="12" t="s">
        <v>20</v>
      </c>
      <c r="AN8" s="12" t="s">
        <v>20</v>
      </c>
      <c r="AO8" s="12" t="s">
        <v>20</v>
      </c>
      <c r="AP8" s="12" t="s">
        <v>20</v>
      </c>
      <c r="AQ8" s="14">
        <f>(AC8/O8)*100</f>
      </c>
    </row>
    <row r="9">
      <c r="A9" s="15" t="s">
        <v>17</v>
      </c>
      <c r="C9" s="16">
        <f>=SUM(C8:C8)</f>
      </c>
      <c r="D9" s="16">
        <f>=SUM(D8:D8)</f>
      </c>
      <c r="E9" s="16">
        <f>=SUM(E8:E8)</f>
      </c>
      <c r="F9" s="16">
        <f>=SUM(F8:F8)</f>
      </c>
      <c r="G9" s="16">
        <f>=SUM(G8:G8)</f>
      </c>
      <c r="H9" s="16">
        <f>=SUM(H8:H8)</f>
      </c>
      <c r="I9" s="16">
        <f>=SUM(I8:I8)</f>
      </c>
      <c r="J9" s="16">
        <f>=SUM(J8:J8)</f>
      </c>
      <c r="K9" s="16">
        <f>=SUM(K8:K8)</f>
      </c>
      <c r="L9" s="16">
        <f>=SUM(L8:L8)</f>
      </c>
      <c r="M9" s="16">
        <f>=SUM(M8:M8)</f>
      </c>
      <c r="N9" s="16">
        <f>=SUM(N8:N8)</f>
      </c>
      <c r="O9" s="16">
        <f>=SUM(O8:O8)</f>
      </c>
      <c r="Q9" s="17">
        <f>=SUM(Q8:Q8)</f>
      </c>
      <c r="R9" s="17">
        <f>=SUM(R8:R8)</f>
      </c>
      <c r="S9" s="17">
        <f>=SUM(S8:S8)</f>
      </c>
      <c r="T9" s="17">
        <f>=SUM(T8:T8)</f>
      </c>
      <c r="U9" s="17">
        <f>=SUM(U8:U8)</f>
      </c>
      <c r="V9" s="17">
        <f>=SUM(V8:V8)</f>
      </c>
      <c r="W9" s="17">
        <f>=SUM(W8:W8)</f>
      </c>
      <c r="X9" s="17">
        <f>=SUM(X8:X8)</f>
      </c>
      <c r="Y9" s="17">
        <f>=SUM(Y8:Y8)</f>
      </c>
      <c r="Z9" s="17">
        <f>=SUM(Z8:Z8)</f>
      </c>
      <c r="AA9" s="17">
        <f>=SUM(AA8:AA8)</f>
      </c>
      <c r="AB9" s="17">
        <f>=SUM(AB8:AB8)</f>
      </c>
      <c r="AC9" s="17">
        <f>=SUM(AC8:AC8)</f>
      </c>
      <c r="AE9" s="17">
        <f>(Q9/C9)*100</f>
      </c>
      <c r="AF9" s="17">
        <f>(R9/D9)*100</f>
      </c>
      <c r="AG9" s="17">
        <f>(S9/E9)*100</f>
      </c>
      <c r="AH9" s="17">
        <f>(T9/F9)*100</f>
      </c>
      <c r="AI9" s="17">
        <f>(U9/G9)*100</f>
      </c>
      <c r="AJ9" s="17">
        <f>(V9/H9)*100</f>
      </c>
      <c r="AK9" s="17">
        <f>(W9/I9)*100</f>
      </c>
      <c r="AL9" s="17">
        <f>(X9/J9)*100</f>
      </c>
      <c r="AM9" s="17">
        <f>(Y9/K9)*100</f>
      </c>
      <c r="AN9" s="17">
        <f>(Z9/L9)*100</f>
      </c>
      <c r="AO9" s="17">
        <f>(AA9/M9)*100</f>
      </c>
      <c r="AP9" s="17">
        <f>(AB9/N9)*100</f>
      </c>
      <c r="AQ9" s="17">
        <f>(AC9/O9)*100</f>
      </c>
    </row>
    <row r="11">
      <c r="A11" s="10"/>
      <c r="B11" s="11" t="s">
        <v>22</v>
      </c>
    </row>
    <row r="12">
      <c r="A12" s="10"/>
      <c r="B12" s="12">
        <v>2022</v>
      </c>
      <c r="C12" s="13">
        <v>790</v>
      </c>
      <c r="D12" s="13">
        <v>782</v>
      </c>
      <c r="E12" s="13">
        <v>758</v>
      </c>
      <c r="F12" s="13">
        <v>712</v>
      </c>
      <c r="G12" s="13">
        <v>759</v>
      </c>
      <c r="H12" s="13">
        <v>790</v>
      </c>
      <c r="I12" s="13">
        <v>705</v>
      </c>
      <c r="J12" s="13">
        <v>78</v>
      </c>
      <c r="K12" s="12" t="s">
        <v>20</v>
      </c>
      <c r="L12" s="12" t="s">
        <v>20</v>
      </c>
      <c r="M12" s="12" t="s">
        <v>20</v>
      </c>
      <c r="N12" s="12" t="s">
        <v>20</v>
      </c>
      <c r="O12" s="14">
        <f>SUM(C12:N12)</f>
      </c>
      <c r="Q12" s="13">
        <v>14</v>
      </c>
      <c r="R12" s="13">
        <v>23</v>
      </c>
      <c r="S12" s="13">
        <v>17</v>
      </c>
      <c r="T12" s="13">
        <v>15</v>
      </c>
      <c r="U12" s="13">
        <v>11</v>
      </c>
      <c r="V12" s="13">
        <v>16</v>
      </c>
      <c r="W12" s="13">
        <v>4</v>
      </c>
      <c r="X12" s="12" t="s">
        <v>20</v>
      </c>
      <c r="Y12" s="12" t="s">
        <v>20</v>
      </c>
      <c r="Z12" s="12" t="s">
        <v>20</v>
      </c>
      <c r="AA12" s="12" t="s">
        <v>20</v>
      </c>
      <c r="AB12" s="12" t="s">
        <v>20</v>
      </c>
      <c r="AC12" s="14">
        <f>SUM(Q12:AB12)</f>
      </c>
      <c r="AE12" s="13">
        <v>1.7721519470214844</v>
      </c>
      <c r="AF12" s="13">
        <v>2.9411764144897461</v>
      </c>
      <c r="AG12" s="13">
        <v>2.242743968963623</v>
      </c>
      <c r="AH12" s="13">
        <v>2.1067416667938232</v>
      </c>
      <c r="AI12" s="13">
        <v>1.4492753744125366</v>
      </c>
      <c r="AJ12" s="13">
        <v>2.0253164768218994</v>
      </c>
      <c r="AK12" s="13">
        <v>0.567375898361206</v>
      </c>
      <c r="AL12" s="12" t="s">
        <v>20</v>
      </c>
      <c r="AM12" s="12" t="s">
        <v>20</v>
      </c>
      <c r="AN12" s="12" t="s">
        <v>20</v>
      </c>
      <c r="AO12" s="12" t="s">
        <v>20</v>
      </c>
      <c r="AP12" s="12" t="s">
        <v>20</v>
      </c>
      <c r="AQ12" s="14">
        <f>(AC12/O12)*100</f>
      </c>
    </row>
    <row r="13">
      <c r="A13" s="15" t="s">
        <v>17</v>
      </c>
      <c r="C13" s="16">
        <f>=SUM(C12:C12)</f>
      </c>
      <c r="D13" s="16">
        <f>=SUM(D12:D12)</f>
      </c>
      <c r="E13" s="16">
        <f>=SUM(E12:E12)</f>
      </c>
      <c r="F13" s="16">
        <f>=SUM(F12:F12)</f>
      </c>
      <c r="G13" s="16">
        <f>=SUM(G12:G12)</f>
      </c>
      <c r="H13" s="16">
        <f>=SUM(H12:H12)</f>
      </c>
      <c r="I13" s="16">
        <f>=SUM(I12:I12)</f>
      </c>
      <c r="J13" s="16">
        <f>=SUM(J12:J12)</f>
      </c>
      <c r="K13" s="16">
        <f>=SUM(K12:K12)</f>
      </c>
      <c r="L13" s="16">
        <f>=SUM(L12:L12)</f>
      </c>
      <c r="M13" s="16">
        <f>=SUM(M12:M12)</f>
      </c>
      <c r="N13" s="16">
        <f>=SUM(N12:N12)</f>
      </c>
      <c r="O13" s="16">
        <f>=SUM(O12:O12)</f>
      </c>
      <c r="Q13" s="17">
        <f>=SUM(Q12:Q12)</f>
      </c>
      <c r="R13" s="17">
        <f>=SUM(R12:R12)</f>
      </c>
      <c r="S13" s="17">
        <f>=SUM(S12:S12)</f>
      </c>
      <c r="T13" s="17">
        <f>=SUM(T12:T12)</f>
      </c>
      <c r="U13" s="17">
        <f>=SUM(U12:U12)</f>
      </c>
      <c r="V13" s="17">
        <f>=SUM(V12:V12)</f>
      </c>
      <c r="W13" s="17">
        <f>=SUM(W12:W12)</f>
      </c>
      <c r="X13" s="17">
        <f>=SUM(X12:X12)</f>
      </c>
      <c r="Y13" s="17">
        <f>=SUM(Y12:Y12)</f>
      </c>
      <c r="Z13" s="17">
        <f>=SUM(Z12:Z12)</f>
      </c>
      <c r="AA13" s="17">
        <f>=SUM(AA12:AA12)</f>
      </c>
      <c r="AB13" s="17">
        <f>=SUM(AB12:AB12)</f>
      </c>
      <c r="AC13" s="17">
        <f>=SUM(AC12:AC12)</f>
      </c>
      <c r="AE13" s="17">
        <f>(Q13/C13)*100</f>
      </c>
      <c r="AF13" s="17">
        <f>(R13/D13)*100</f>
      </c>
      <c r="AG13" s="17">
        <f>(S13/E13)*100</f>
      </c>
      <c r="AH13" s="17">
        <f>(T13/F13)*100</f>
      </c>
      <c r="AI13" s="17">
        <f>(U13/G13)*100</f>
      </c>
      <c r="AJ13" s="17">
        <f>(V13/H13)*100</f>
      </c>
      <c r="AK13" s="17">
        <f>(W13/I13)*100</f>
      </c>
      <c r="AL13" s="17">
        <f>(X13/J13)*100</f>
      </c>
      <c r="AM13" s="17">
        <f>(Y13/K13)*100</f>
      </c>
      <c r="AN13" s="17">
        <f>(Z13/L13)*100</f>
      </c>
      <c r="AO13" s="17">
        <f>(AA13/M13)*100</f>
      </c>
      <c r="AP13" s="17">
        <f>(AB13/N13)*100</f>
      </c>
      <c r="AQ13" s="17">
        <f>(AC13/O13)*100</f>
      </c>
    </row>
    <row r="17">
      <c r="A17" s="15" t="s">
        <v>23</v>
      </c>
      <c r="B17" s="12">
        <v>2022</v>
      </c>
      <c r="C17" s="19">
        <v>1693</v>
      </c>
      <c r="D17" s="19">
        <v>1693</v>
      </c>
      <c r="E17" s="19">
        <v>1617</v>
      </c>
      <c r="F17" s="19">
        <v>1572</v>
      </c>
      <c r="G17" s="19">
        <v>1634</v>
      </c>
      <c r="H17" s="19">
        <v>1731</v>
      </c>
      <c r="I17" s="19">
        <v>1357</v>
      </c>
      <c r="J17" s="19">
        <v>129</v>
      </c>
      <c r="K17" s="19" t="s">
        <v>20</v>
      </c>
      <c r="L17" s="19" t="s">
        <v>20</v>
      </c>
      <c r="M17" s="19" t="s">
        <v>20</v>
      </c>
      <c r="N17" s="19" t="s">
        <v>20</v>
      </c>
      <c r="O17" s="18">
        <f>=SUM(C17:N17)</f>
      </c>
      <c r="Q17" s="19">
        <v>27</v>
      </c>
      <c r="R17" s="19">
        <v>33</v>
      </c>
      <c r="S17" s="19">
        <v>25</v>
      </c>
      <c r="T17" s="19">
        <v>51</v>
      </c>
      <c r="U17" s="19">
        <v>31</v>
      </c>
      <c r="V17" s="19">
        <v>41</v>
      </c>
      <c r="W17" s="19">
        <v>18</v>
      </c>
      <c r="X17" s="19">
        <v>2</v>
      </c>
      <c r="Y17" s="19" t="s">
        <v>20</v>
      </c>
      <c r="Z17" s="19" t="s">
        <v>20</v>
      </c>
      <c r="AA17" s="19" t="s">
        <v>20</v>
      </c>
      <c r="AB17" s="19" t="s">
        <v>20</v>
      </c>
      <c r="AC17" s="18">
        <f>=SUM(Q17:AB17)</f>
      </c>
      <c r="AE17" s="19">
        <f>=(Q17/C17)*100</f>
      </c>
      <c r="AF17" s="19">
        <f>=(R17/D17)*100</f>
      </c>
      <c r="AG17" s="19">
        <f>=(S17/E17)*100</f>
      </c>
      <c r="AH17" s="19">
        <f>=(T17/F17)*100</f>
      </c>
      <c r="AI17" s="19">
        <f>=(U17/G17)*100</f>
      </c>
      <c r="AJ17" s="19">
        <f>=(V17/H17)*100</f>
      </c>
      <c r="AK17" s="19">
        <f>=(W17/I17)*100</f>
      </c>
      <c r="AL17" s="19">
        <f>=(X17/J17)*100</f>
      </c>
      <c r="AM17" s="19" t="s">
        <v>20</v>
      </c>
      <c r="AN17" s="19" t="s">
        <v>20</v>
      </c>
      <c r="AO17" s="19" t="s">
        <v>20</v>
      </c>
      <c r="AP17" s="19" t="s">
        <v>20</v>
      </c>
      <c r="AQ17" s="19">
        <f>(AC17/O17)*100</f>
      </c>
    </row>
    <row r="18">
      <c r="C18" s="18">
        <f>=SUM(C17:C17)</f>
      </c>
      <c r="D18" s="18">
        <f>=SUM(D17:D17)</f>
      </c>
      <c r="E18" s="18">
        <f>=SUM(E17:E17)</f>
      </c>
      <c r="F18" s="18">
        <f>=SUM(F17:F17)</f>
      </c>
      <c r="G18" s="18">
        <f>=SUM(G17:G17)</f>
      </c>
      <c r="H18" s="18">
        <f>=SUM(H17:H17)</f>
      </c>
      <c r="I18" s="18">
        <f>=SUM(I17:I17)</f>
      </c>
      <c r="J18" s="18">
        <f>=SUM(J17:J17)</f>
      </c>
      <c r="K18" s="18">
        <f>=SUM(K17:K17)</f>
      </c>
      <c r="L18" s="18">
        <f>=SUM(L17:L17)</f>
      </c>
      <c r="M18" s="18">
        <f>=SUM(M17:M17)</f>
      </c>
      <c r="N18" s="18">
        <f>=SUM(N17:N17)</f>
      </c>
      <c r="O18" s="19">
        <f>=SUM(C18:N18)</f>
      </c>
      <c r="Q18" s="18">
        <f>=SUM(Q17:Q17)</f>
      </c>
      <c r="R18" s="18">
        <f>=SUM(R17:R17)</f>
      </c>
      <c r="S18" s="18">
        <f>=SUM(S17:S17)</f>
      </c>
      <c r="T18" s="18">
        <f>=SUM(T17:T17)</f>
      </c>
      <c r="U18" s="18">
        <f>=SUM(U17:U17)</f>
      </c>
      <c r="V18" s="18">
        <f>=SUM(V17:V17)</f>
      </c>
      <c r="W18" s="18">
        <f>=SUM(W17:W17)</f>
      </c>
      <c r="X18" s="18">
        <f>=SUM(X17:X17)</f>
      </c>
      <c r="Y18" s="18">
        <f>=SUM(Y17:Y17)</f>
      </c>
      <c r="Z18" s="18">
        <f>=SUM(Z17:Z17)</f>
      </c>
      <c r="AA18" s="18">
        <f>=SUM(AA17:AA17)</f>
      </c>
      <c r="AB18" s="18">
        <f>=SUM(AB17:AB17)</f>
      </c>
      <c r="AC18" s="19">
        <f>=SUM(Q18:AB18)</f>
      </c>
      <c r="AE18" s="19">
        <f>(Q18/C18)*100</f>
      </c>
      <c r="AF18" s="19">
        <f>(R18/D18)*100</f>
      </c>
      <c r="AG18" s="19">
        <f>(S18/E18)*100</f>
      </c>
      <c r="AH18" s="19">
        <f>(T18/F18)*100</f>
      </c>
      <c r="AI18" s="19">
        <f>(U18/G18)*100</f>
      </c>
      <c r="AJ18" s="19">
        <f>(V18/H18)*100</f>
      </c>
      <c r="AK18" s="19">
        <f>(W18/I18)*100</f>
      </c>
      <c r="AL18" s="19">
        <f>(X18/J18)*100</f>
      </c>
      <c r="AM18" s="19">
        <f>(Y18/K18)*100</f>
      </c>
      <c r="AN18" s="19">
        <f>(Z18/L18)*100</f>
      </c>
      <c r="AO18" s="19">
        <f>(AA18/M18)*100</f>
      </c>
      <c r="AP18" s="19">
        <f>(AB18/N18)*100</f>
      </c>
      <c r="AQ18" s="19">
        <f>(AC18/O18)*100</f>
      </c>
    </row>
    <row r="20">
      <c r="A20" s="20" t="s">
        <v>24</v>
      </c>
      <c r="B20" s="2"/>
      <c r="C20" s="2"/>
      <c r="D20" s="2"/>
      <c r="E20" s="2"/>
      <c r="F20" s="2"/>
      <c r="G20" s="2"/>
      <c r="H20" s="2"/>
      <c r="I20" s="2"/>
      <c r="J20" s="4"/>
    </row>
    <row r="21" ht="22" customHeight="1">
      <c r="C21" s="21" t="s">
        <v>0</v>
      </c>
      <c r="D21" s="4"/>
      <c r="F21" s="21" t="s">
        <v>1</v>
      </c>
      <c r="G21" s="4"/>
      <c r="I21" s="21" t="s">
        <v>2</v>
      </c>
      <c r="J21" s="4"/>
    </row>
    <row r="22" ht="22" customHeight="1">
      <c r="A22" s="22" t="s">
        <v>25</v>
      </c>
      <c r="C22" s="8" t="s">
        <v>26</v>
      </c>
      <c r="D22" s="8" t="s">
        <v>27</v>
      </c>
      <c r="F22" s="8" t="s">
        <v>26</v>
      </c>
      <c r="G22" s="8" t="s">
        <v>27</v>
      </c>
      <c r="I22" s="8" t="s">
        <v>26</v>
      </c>
      <c r="J22" s="8" t="s">
        <v>27</v>
      </c>
    </row>
    <row r="23">
      <c r="A23" s="23" t="s">
        <v>19</v>
      </c>
      <c r="B23" s="12">
        <v>2022</v>
      </c>
      <c r="C23" s="13">
        <v>1832</v>
      </c>
      <c r="D23" s="13">
        <v>1554</v>
      </c>
      <c r="F23" s="13">
        <v>72</v>
      </c>
      <c r="G23" s="13">
        <v>26</v>
      </c>
      <c r="I23" s="13">
        <f>(F23/C23)*100</f>
      </c>
      <c r="J23" s="13">
        <f>(G23/D23)*100</f>
      </c>
    </row>
    <row r="24">
      <c r="A24" s="24" t="s">
        <v>17</v>
      </c>
      <c r="C24" s="14">
        <f>=SUM(C23:C23)</f>
      </c>
      <c r="D24" s="14">
        <f>=SUM(D23:D23)</f>
      </c>
      <c r="F24" s="14">
        <f>=SUM(F23:F23)</f>
      </c>
      <c r="G24" s="14">
        <f>=SUM(G23:G23)</f>
      </c>
      <c r="I24" s="14">
        <f>(F24/C24)*100</f>
      </c>
      <c r="J24" s="14">
        <f>(G24/D24)*100</f>
      </c>
    </row>
    <row r="26">
      <c r="A26" s="23" t="s">
        <v>21</v>
      </c>
      <c r="B26" s="12">
        <v>2022</v>
      </c>
      <c r="C26" s="13">
        <v>1547</v>
      </c>
      <c r="D26" s="13">
        <v>1119</v>
      </c>
      <c r="F26" s="13">
        <v>25</v>
      </c>
      <c r="G26" s="13">
        <v>5</v>
      </c>
      <c r="I26" s="13">
        <f>(F26/C26)*100</f>
      </c>
      <c r="J26" s="13">
        <f>(G26/D26)*100</f>
      </c>
    </row>
    <row r="27">
      <c r="A27" s="24" t="s">
        <v>17</v>
      </c>
      <c r="C27" s="14">
        <f>=SUM(C26:C26)</f>
      </c>
      <c r="D27" s="14">
        <f>=SUM(D26:D26)</f>
      </c>
      <c r="F27" s="14">
        <f>=SUM(F26:F26)</f>
      </c>
      <c r="G27" s="14">
        <f>=SUM(G26:G26)</f>
      </c>
      <c r="I27" s="14">
        <f>(F27/C27)*100</f>
      </c>
      <c r="J27" s="14">
        <f>(G27/D27)*100</f>
      </c>
    </row>
    <row r="29">
      <c r="A29" s="23" t="s">
        <v>22</v>
      </c>
      <c r="B29" s="12">
        <v>2022</v>
      </c>
      <c r="C29" s="13">
        <v>3044</v>
      </c>
      <c r="D29" s="13">
        <v>2330</v>
      </c>
      <c r="F29" s="13">
        <v>46</v>
      </c>
      <c r="G29" s="13">
        <v>54</v>
      </c>
      <c r="I29" s="13">
        <f>(F29/C29)*100</f>
      </c>
      <c r="J29" s="13">
        <f>(G29/D29)*100</f>
      </c>
    </row>
    <row r="30">
      <c r="A30" s="24" t="s">
        <v>17</v>
      </c>
      <c r="C30" s="14">
        <f>=SUM(C29:C29)</f>
      </c>
      <c r="D30" s="14">
        <f>=SUM(D29:D29)</f>
      </c>
      <c r="F30" s="14">
        <f>=SUM(F29:F29)</f>
      </c>
      <c r="G30" s="14">
        <f>=SUM(G29:G29)</f>
      </c>
      <c r="I30" s="14">
        <f>(F30/C30)*100</f>
      </c>
      <c r="J30" s="14">
        <f>(G30/D30)*100</f>
      </c>
    </row>
    <row r="32">
      <c r="A32" s="24" t="s">
        <v>28</v>
      </c>
      <c r="C32" s="14">
        <f>=C24+C27+C30</f>
      </c>
      <c r="D32" s="14">
        <f>=D24+D27+D30</f>
      </c>
      <c r="F32" s="14">
        <f>=F24+F27+F30</f>
      </c>
      <c r="G32" s="14">
        <f>=G24+G27+G30</f>
      </c>
      <c r="I32" s="14">
        <f>(F32/C32)*100</f>
      </c>
      <c r="J32" s="14">
        <f>(G32/D32)*100</f>
      </c>
    </row>
  </sheetData>
  <mergeCells>
    <mergeCell ref="C1:O1"/>
    <mergeCell ref="Q1:AC1"/>
    <mergeCell ref="AE1:AR1"/>
    <mergeCell ref="B3:AQ3"/>
    <mergeCell ref="B7:AQ7"/>
    <mergeCell ref="B11:AQ11"/>
    <mergeCell ref="A20:J20"/>
    <mergeCell ref="C21:D21"/>
    <mergeCell ref="F21:G21"/>
    <mergeCell ref="I21:J2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J178"/>
  <sheetViews>
    <sheetView workbookViewId="0"/>
  </sheetViews>
  <sheetFormatPr defaultRowHeight="15"/>
  <cols>
    <col min="2" max="2" width="35" customWidth="1"/>
  </cols>
  <sheetData>
    <row r="1" ht="22" customHeight="1">
      <c r="C1" s="1" t="s">
        <v>0</v>
      </c>
      <c r="F1" s="1" t="s">
        <v>1</v>
      </c>
      <c r="I1" s="1" t="s">
        <v>2</v>
      </c>
    </row>
    <row r="2" ht="22" customHeight="1">
      <c r="A2" s="0" t="s">
        <v>3</v>
      </c>
      <c r="B2" s="25" t="s">
        <v>29</v>
      </c>
      <c r="C2" s="5">
        <v>2022</v>
      </c>
      <c r="D2" s="5" t="s">
        <v>17</v>
      </c>
      <c r="F2" s="5">
        <v>2022</v>
      </c>
      <c r="G2" s="5" t="s">
        <v>17</v>
      </c>
      <c r="I2" s="5">
        <v>2022</v>
      </c>
      <c r="J2" s="5" t="s">
        <v>18</v>
      </c>
    </row>
    <row r="3">
      <c r="A3" s="23" t="s">
        <v>30</v>
      </c>
      <c r="B3" s="2"/>
      <c r="C3" s="2"/>
      <c r="D3" s="2"/>
      <c r="E3" s="2"/>
      <c r="F3" s="2"/>
      <c r="G3" s="2"/>
      <c r="H3" s="2"/>
      <c r="I3" s="2"/>
      <c r="J3" s="4"/>
    </row>
    <row r="4">
      <c r="A4" s="26" t="s">
        <v>31</v>
      </c>
      <c r="B4" s="12" t="s">
        <v>32</v>
      </c>
      <c r="C4" s="12">
        <v>1</v>
      </c>
      <c r="D4" s="18">
        <f>=SUM(C4:C4)</f>
      </c>
      <c r="F4" s="12" t="s">
        <v>20</v>
      </c>
      <c r="G4" s="18">
        <f>=SUM(F4:F4)</f>
      </c>
      <c r="I4" s="12" t="s">
        <v>20</v>
      </c>
      <c r="J4" s="19">
        <f>(G4/D4)*100</f>
      </c>
    </row>
    <row r="5">
      <c r="A5" s="26" t="s">
        <v>33</v>
      </c>
      <c r="B5" s="12" t="s">
        <v>34</v>
      </c>
      <c r="C5" s="12" t="s">
        <v>20</v>
      </c>
      <c r="D5" s="18">
        <f>=SUM(C5:C5)</f>
      </c>
      <c r="F5" s="12" t="s">
        <v>20</v>
      </c>
      <c r="G5" s="18">
        <f>=SUM(F5:F5)</f>
      </c>
      <c r="I5" s="12" t="s">
        <v>20</v>
      </c>
      <c r="J5" s="19">
        <f>(G5/D5)*100</f>
      </c>
    </row>
    <row r="6">
      <c r="A6" s="26" t="s">
        <v>35</v>
      </c>
      <c r="B6" s="12" t="s">
        <v>36</v>
      </c>
      <c r="C6" s="12" t="s">
        <v>20</v>
      </c>
      <c r="D6" s="18">
        <f>=SUM(C6:C6)</f>
      </c>
      <c r="F6" s="12" t="s">
        <v>20</v>
      </c>
      <c r="G6" s="18">
        <f>=SUM(F6:F6)</f>
      </c>
      <c r="I6" s="12" t="s">
        <v>20</v>
      </c>
      <c r="J6" s="19">
        <f>(G6/D6)*100</f>
      </c>
    </row>
    <row r="7">
      <c r="A7" s="26" t="s">
        <v>37</v>
      </c>
      <c r="B7" s="12" t="s">
        <v>38</v>
      </c>
      <c r="C7" s="12" t="s">
        <v>20</v>
      </c>
      <c r="D7" s="18">
        <f>=SUM(C7:C7)</f>
      </c>
      <c r="F7" s="12" t="s">
        <v>20</v>
      </c>
      <c r="G7" s="18">
        <f>=SUM(F7:F7)</f>
      </c>
      <c r="I7" s="12" t="s">
        <v>20</v>
      </c>
      <c r="J7" s="19">
        <f>(G7/D7)*100</f>
      </c>
    </row>
    <row r="8">
      <c r="A8" s="26" t="s">
        <v>39</v>
      </c>
      <c r="B8" s="12" t="s">
        <v>40</v>
      </c>
      <c r="C8" s="12" t="s">
        <v>20</v>
      </c>
      <c r="D8" s="18">
        <f>=SUM(C8:C8)</f>
      </c>
      <c r="F8" s="12" t="s">
        <v>20</v>
      </c>
      <c r="G8" s="18">
        <f>=SUM(F8:F8)</f>
      </c>
      <c r="I8" s="12" t="s">
        <v>20</v>
      </c>
      <c r="J8" s="19">
        <f>(G8/D8)*100</f>
      </c>
    </row>
    <row r="9">
      <c r="A9" s="26" t="s">
        <v>41</v>
      </c>
      <c r="B9" s="12" t="s">
        <v>42</v>
      </c>
      <c r="C9" s="12" t="s">
        <v>20</v>
      </c>
      <c r="D9" s="18">
        <f>=SUM(C9:C9)</f>
      </c>
      <c r="F9" s="12" t="s">
        <v>20</v>
      </c>
      <c r="G9" s="18">
        <f>=SUM(F9:F9)</f>
      </c>
      <c r="I9" s="12" t="s">
        <v>20</v>
      </c>
      <c r="J9" s="19">
        <f>(G9/D9)*100</f>
      </c>
    </row>
    <row r="10">
      <c r="A10" s="26" t="s">
        <v>43</v>
      </c>
      <c r="B10" s="12" t="s">
        <v>44</v>
      </c>
      <c r="C10" s="12">
        <v>20</v>
      </c>
      <c r="D10" s="18">
        <f>=SUM(C10:C10)</f>
      </c>
      <c r="F10" s="12">
        <v>1</v>
      </c>
      <c r="G10" s="18">
        <f>=SUM(F10:F10)</f>
      </c>
      <c r="I10" s="12">
        <v>5</v>
      </c>
      <c r="J10" s="19">
        <f>(G10/D10)*100</f>
      </c>
    </row>
    <row r="11">
      <c r="A11" s="26" t="s">
        <v>45</v>
      </c>
      <c r="B11" s="12" t="s">
        <v>46</v>
      </c>
      <c r="C11" s="12">
        <v>59</v>
      </c>
      <c r="D11" s="18">
        <f>=SUM(C11:C11)</f>
      </c>
      <c r="F11" s="12" t="s">
        <v>20</v>
      </c>
      <c r="G11" s="18">
        <f>=SUM(F11:F11)</f>
      </c>
      <c r="I11" s="12" t="s">
        <v>20</v>
      </c>
      <c r="J11" s="19">
        <f>(G11/D11)*100</f>
      </c>
    </row>
    <row r="12">
      <c r="A12" s="26" t="s">
        <v>47</v>
      </c>
      <c r="B12" s="12" t="s">
        <v>48</v>
      </c>
      <c r="C12" s="12" t="s">
        <v>20</v>
      </c>
      <c r="D12" s="18">
        <f>=SUM(C12:C12)</f>
      </c>
      <c r="F12" s="12" t="s">
        <v>20</v>
      </c>
      <c r="G12" s="18">
        <f>=SUM(F12:F12)</f>
      </c>
      <c r="I12" s="12" t="s">
        <v>20</v>
      </c>
      <c r="J12" s="19">
        <f>(G12/D12)*100</f>
      </c>
    </row>
    <row r="13">
      <c r="A13" s="26" t="s">
        <v>49</v>
      </c>
      <c r="B13" s="12" t="s">
        <v>50</v>
      </c>
      <c r="C13" s="12">
        <v>1</v>
      </c>
      <c r="D13" s="18">
        <f>=SUM(C13:C13)</f>
      </c>
      <c r="F13" s="12" t="s">
        <v>20</v>
      </c>
      <c r="G13" s="18">
        <f>=SUM(F13:F13)</f>
      </c>
      <c r="I13" s="12" t="s">
        <v>20</v>
      </c>
      <c r="J13" s="19">
        <f>(G13/D13)*100</f>
      </c>
    </row>
    <row r="14">
      <c r="A14" s="26" t="s">
        <v>51</v>
      </c>
      <c r="B14" s="12" t="s">
        <v>52</v>
      </c>
      <c r="C14" s="12" t="s">
        <v>20</v>
      </c>
      <c r="D14" s="18">
        <f>=SUM(C14:C14)</f>
      </c>
      <c r="F14" s="12" t="s">
        <v>20</v>
      </c>
      <c r="G14" s="18">
        <f>=SUM(F14:F14)</f>
      </c>
      <c r="I14" s="12" t="s">
        <v>20</v>
      </c>
      <c r="J14" s="19">
        <f>(G14/D14)*100</f>
      </c>
    </row>
    <row r="15">
      <c r="A15" s="26" t="s">
        <v>53</v>
      </c>
      <c r="B15" s="12" t="s">
        <v>54</v>
      </c>
      <c r="C15" s="12" t="s">
        <v>20</v>
      </c>
      <c r="D15" s="18">
        <f>=SUM(C15:C15)</f>
      </c>
      <c r="F15" s="12" t="s">
        <v>20</v>
      </c>
      <c r="G15" s="18">
        <f>=SUM(F15:F15)</f>
      </c>
      <c r="I15" s="12" t="s">
        <v>20</v>
      </c>
      <c r="J15" s="19">
        <f>(G15/D15)*100</f>
      </c>
    </row>
    <row r="16">
      <c r="A16" s="26" t="s">
        <v>55</v>
      </c>
      <c r="B16" s="12" t="s">
        <v>56</v>
      </c>
      <c r="C16" s="12" t="s">
        <v>20</v>
      </c>
      <c r="D16" s="18">
        <f>=SUM(C16:C16)</f>
      </c>
      <c r="F16" s="12" t="s">
        <v>20</v>
      </c>
      <c r="G16" s="18">
        <f>=SUM(F16:F16)</f>
      </c>
      <c r="I16" s="12" t="s">
        <v>20</v>
      </c>
      <c r="J16" s="19">
        <f>(G16/D16)*100</f>
      </c>
    </row>
    <row r="17">
      <c r="A17" s="26" t="s">
        <v>57</v>
      </c>
      <c r="B17" s="12" t="s">
        <v>58</v>
      </c>
      <c r="C17" s="12">
        <v>19</v>
      </c>
      <c r="D17" s="18">
        <f>=SUM(C17:C17)</f>
      </c>
      <c r="F17" s="12">
        <v>2</v>
      </c>
      <c r="G17" s="18">
        <f>=SUM(F17:F17)</f>
      </c>
      <c r="I17" s="12">
        <v>11</v>
      </c>
      <c r="J17" s="19">
        <f>(G17/D17)*100</f>
      </c>
    </row>
    <row r="18">
      <c r="A18" s="26" t="s">
        <v>59</v>
      </c>
      <c r="B18" s="12" t="s">
        <v>60</v>
      </c>
      <c r="C18" s="12">
        <v>6</v>
      </c>
      <c r="D18" s="18">
        <f>=SUM(C18:C18)</f>
      </c>
      <c r="F18" s="12" t="s">
        <v>20</v>
      </c>
      <c r="G18" s="18">
        <f>=SUM(F18:F18)</f>
      </c>
      <c r="I18" s="12" t="s">
        <v>20</v>
      </c>
      <c r="J18" s="19">
        <f>(G18/D18)*100</f>
      </c>
    </row>
    <row r="19">
      <c r="A19" s="26" t="s">
        <v>61</v>
      </c>
      <c r="B19" s="12" t="s">
        <v>62</v>
      </c>
      <c r="C19" s="12" t="s">
        <v>20</v>
      </c>
      <c r="D19" s="18">
        <f>=SUM(C19:C19)</f>
      </c>
      <c r="F19" s="12" t="s">
        <v>20</v>
      </c>
      <c r="G19" s="18">
        <f>=SUM(F19:F19)</f>
      </c>
      <c r="I19" s="12" t="s">
        <v>20</v>
      </c>
      <c r="J19" s="19">
        <f>(G19/D19)*100</f>
      </c>
    </row>
    <row r="20">
      <c r="A20" s="26" t="s">
        <v>63</v>
      </c>
      <c r="B20" s="12" t="s">
        <v>64</v>
      </c>
      <c r="C20" s="12">
        <v>2</v>
      </c>
      <c r="D20" s="18">
        <f>=SUM(C20:C20)</f>
      </c>
      <c r="F20" s="12" t="s">
        <v>20</v>
      </c>
      <c r="G20" s="18">
        <f>=SUM(F20:F20)</f>
      </c>
      <c r="I20" s="12" t="s">
        <v>20</v>
      </c>
      <c r="J20" s="19">
        <f>(G20/D20)*100</f>
      </c>
    </row>
    <row r="21">
      <c r="A21" s="26" t="s">
        <v>65</v>
      </c>
      <c r="B21" s="12" t="s">
        <v>66</v>
      </c>
      <c r="C21" s="12">
        <v>5</v>
      </c>
      <c r="D21" s="18">
        <f>=SUM(C21:C21)</f>
      </c>
      <c r="F21" s="12" t="s">
        <v>20</v>
      </c>
      <c r="G21" s="18">
        <f>=SUM(F21:F21)</f>
      </c>
      <c r="I21" s="12" t="s">
        <v>20</v>
      </c>
      <c r="J21" s="19">
        <f>(G21/D21)*100</f>
      </c>
    </row>
    <row r="22">
      <c r="A22" s="26" t="s">
        <v>67</v>
      </c>
      <c r="B22" s="12" t="s">
        <v>68</v>
      </c>
      <c r="C22" s="12">
        <v>45</v>
      </c>
      <c r="D22" s="18">
        <f>=SUM(C22:C22)</f>
      </c>
      <c r="F22" s="12">
        <v>1</v>
      </c>
      <c r="G22" s="18">
        <f>=SUM(F22:F22)</f>
      </c>
      <c r="I22" s="12">
        <v>2</v>
      </c>
      <c r="J22" s="19">
        <f>(G22/D22)*100</f>
      </c>
    </row>
    <row r="23">
      <c r="A23" s="26" t="s">
        <v>69</v>
      </c>
      <c r="B23" s="12" t="s">
        <v>70</v>
      </c>
      <c r="C23" s="12" t="s">
        <v>20</v>
      </c>
      <c r="D23" s="18">
        <f>=SUM(C23:C23)</f>
      </c>
      <c r="F23" s="12" t="s">
        <v>20</v>
      </c>
      <c r="G23" s="18">
        <f>=SUM(F23:F23)</f>
      </c>
      <c r="I23" s="12" t="s">
        <v>20</v>
      </c>
      <c r="J23" s="19">
        <f>(G23/D23)*100</f>
      </c>
    </row>
    <row r="24">
      <c r="A24" s="26" t="s">
        <v>71</v>
      </c>
      <c r="B24" s="12" t="s">
        <v>72</v>
      </c>
      <c r="C24" s="12" t="s">
        <v>20</v>
      </c>
      <c r="D24" s="18">
        <f>=SUM(C24:C24)</f>
      </c>
      <c r="F24" s="12" t="s">
        <v>20</v>
      </c>
      <c r="G24" s="18">
        <f>=SUM(F24:F24)</f>
      </c>
      <c r="I24" s="12" t="s">
        <v>20</v>
      </c>
      <c r="J24" s="19">
        <f>(G24/D24)*100</f>
      </c>
    </row>
    <row r="25">
      <c r="A25" s="26" t="s">
        <v>73</v>
      </c>
      <c r="B25" s="12" t="s">
        <v>74</v>
      </c>
      <c r="C25" s="12" t="s">
        <v>20</v>
      </c>
      <c r="D25" s="18">
        <f>=SUM(C25:C25)</f>
      </c>
      <c r="F25" s="12" t="s">
        <v>20</v>
      </c>
      <c r="G25" s="18">
        <f>=SUM(F25:F25)</f>
      </c>
      <c r="I25" s="12" t="s">
        <v>20</v>
      </c>
      <c r="J25" s="19">
        <f>(G25/D25)*100</f>
      </c>
    </row>
    <row r="26">
      <c r="A26" s="26" t="s">
        <v>75</v>
      </c>
      <c r="B26" s="12" t="s">
        <v>76</v>
      </c>
      <c r="C26" s="12">
        <v>1</v>
      </c>
      <c r="D26" s="18">
        <f>=SUM(C26:C26)</f>
      </c>
      <c r="F26" s="12" t="s">
        <v>20</v>
      </c>
      <c r="G26" s="18">
        <f>=SUM(F26:F26)</f>
      </c>
      <c r="I26" s="12" t="s">
        <v>20</v>
      </c>
      <c r="J26" s="19">
        <f>(G26/D26)*100</f>
      </c>
    </row>
    <row r="27">
      <c r="A27" s="26" t="s">
        <v>77</v>
      </c>
      <c r="B27" s="12" t="s">
        <v>78</v>
      </c>
      <c r="C27" s="12" t="s">
        <v>20</v>
      </c>
      <c r="D27" s="18">
        <f>=SUM(C27:C27)</f>
      </c>
      <c r="F27" s="12" t="s">
        <v>20</v>
      </c>
      <c r="G27" s="18">
        <f>=SUM(F27:F27)</f>
      </c>
      <c r="I27" s="12" t="s">
        <v>20</v>
      </c>
      <c r="J27" s="19">
        <f>(G27/D27)*100</f>
      </c>
    </row>
    <row r="28">
      <c r="A28" s="26" t="s">
        <v>79</v>
      </c>
      <c r="B28" s="12" t="s">
        <v>80</v>
      </c>
      <c r="C28" s="12">
        <v>1</v>
      </c>
      <c r="D28" s="18">
        <f>=SUM(C28:C28)</f>
      </c>
      <c r="F28" s="12" t="s">
        <v>20</v>
      </c>
      <c r="G28" s="18">
        <f>=SUM(F28:F28)</f>
      </c>
      <c r="I28" s="12" t="s">
        <v>20</v>
      </c>
      <c r="J28" s="19">
        <f>(G28/D28)*100</f>
      </c>
    </row>
    <row r="29">
      <c r="A29" s="26" t="s">
        <v>81</v>
      </c>
      <c r="B29" s="12" t="s">
        <v>82</v>
      </c>
      <c r="C29" s="12">
        <v>4</v>
      </c>
      <c r="D29" s="18">
        <f>=SUM(C29:C29)</f>
      </c>
      <c r="F29" s="12" t="s">
        <v>20</v>
      </c>
      <c r="G29" s="18">
        <f>=SUM(F29:F29)</f>
      </c>
      <c r="I29" s="12" t="s">
        <v>20</v>
      </c>
      <c r="J29" s="19">
        <f>(G29/D29)*100</f>
      </c>
    </row>
    <row r="30">
      <c r="A30" s="26" t="s">
        <v>83</v>
      </c>
      <c r="B30" s="12" t="s">
        <v>84</v>
      </c>
      <c r="C30" s="12" t="s">
        <v>20</v>
      </c>
      <c r="D30" s="18">
        <f>=SUM(C30:C30)</f>
      </c>
      <c r="F30" s="12" t="s">
        <v>20</v>
      </c>
      <c r="G30" s="18">
        <f>=SUM(F30:F30)</f>
      </c>
      <c r="I30" s="12" t="s">
        <v>20</v>
      </c>
      <c r="J30" s="19">
        <f>(G30/D30)*100</f>
      </c>
    </row>
    <row r="31">
      <c r="A31" s="26" t="s">
        <v>85</v>
      </c>
      <c r="B31" s="12" t="s">
        <v>86</v>
      </c>
      <c r="C31" s="12" t="s">
        <v>20</v>
      </c>
      <c r="D31" s="18">
        <f>=SUM(C31:C31)</f>
      </c>
      <c r="F31" s="12" t="s">
        <v>20</v>
      </c>
      <c r="G31" s="18">
        <f>=SUM(F31:F31)</f>
      </c>
      <c r="I31" s="12" t="s">
        <v>20</v>
      </c>
      <c r="J31" s="19">
        <f>(G31/D31)*100</f>
      </c>
    </row>
    <row r="32">
      <c r="A32" s="26" t="s">
        <v>87</v>
      </c>
      <c r="B32" s="12" t="s">
        <v>88</v>
      </c>
      <c r="C32" s="12">
        <v>1</v>
      </c>
      <c r="D32" s="18">
        <f>=SUM(C32:C32)</f>
      </c>
      <c r="F32" s="12" t="s">
        <v>20</v>
      </c>
      <c r="G32" s="18">
        <f>=SUM(F32:F32)</f>
      </c>
      <c r="I32" s="12" t="s">
        <v>20</v>
      </c>
      <c r="J32" s="19">
        <f>(G32/D32)*100</f>
      </c>
    </row>
    <row r="33">
      <c r="A33" s="26" t="s">
        <v>89</v>
      </c>
      <c r="B33" s="12" t="s">
        <v>90</v>
      </c>
      <c r="C33" s="12">
        <v>14</v>
      </c>
      <c r="D33" s="18">
        <f>=SUM(C33:C33)</f>
      </c>
      <c r="F33" s="12" t="s">
        <v>20</v>
      </c>
      <c r="G33" s="18">
        <f>=SUM(F33:F33)</f>
      </c>
      <c r="I33" s="12" t="s">
        <v>20</v>
      </c>
      <c r="J33" s="19">
        <f>(G33/D33)*100</f>
      </c>
    </row>
    <row r="34">
      <c r="A34" s="26" t="s">
        <v>91</v>
      </c>
      <c r="B34" s="12" t="s">
        <v>92</v>
      </c>
      <c r="C34" s="12" t="s">
        <v>20</v>
      </c>
      <c r="D34" s="18">
        <f>=SUM(C34:C34)</f>
      </c>
      <c r="F34" s="12" t="s">
        <v>20</v>
      </c>
      <c r="G34" s="18">
        <f>=SUM(F34:F34)</f>
      </c>
      <c r="I34" s="12" t="s">
        <v>20</v>
      </c>
      <c r="J34" s="19">
        <f>(G34/D34)*100</f>
      </c>
    </row>
    <row r="35">
      <c r="A35" s="26" t="s">
        <v>93</v>
      </c>
      <c r="B35" s="12" t="s">
        <v>94</v>
      </c>
      <c r="C35" s="12" t="s">
        <v>20</v>
      </c>
      <c r="D35" s="18">
        <f>=SUM(C35:C35)</f>
      </c>
      <c r="F35" s="12" t="s">
        <v>20</v>
      </c>
      <c r="G35" s="18">
        <f>=SUM(F35:F35)</f>
      </c>
      <c r="I35" s="12" t="s">
        <v>20</v>
      </c>
      <c r="J35" s="19">
        <f>(G35/D35)*100</f>
      </c>
    </row>
    <row r="36">
      <c r="A36" s="26" t="s">
        <v>95</v>
      </c>
      <c r="B36" s="12" t="s">
        <v>96</v>
      </c>
      <c r="C36" s="12">
        <v>43</v>
      </c>
      <c r="D36" s="18">
        <f>=SUM(C36:C36)</f>
      </c>
      <c r="F36" s="12">
        <v>7</v>
      </c>
      <c r="G36" s="18">
        <f>=SUM(F36:F36)</f>
      </c>
      <c r="I36" s="12">
        <v>16</v>
      </c>
      <c r="J36" s="19">
        <f>(G36/D36)*100</f>
      </c>
    </row>
    <row r="37">
      <c r="A37" s="26" t="s">
        <v>97</v>
      </c>
      <c r="B37" s="12" t="s">
        <v>98</v>
      </c>
      <c r="C37" s="12" t="s">
        <v>20</v>
      </c>
      <c r="D37" s="18">
        <f>=SUM(C37:C37)</f>
      </c>
      <c r="F37" s="12" t="s">
        <v>20</v>
      </c>
      <c r="G37" s="18">
        <f>=SUM(F37:F37)</f>
      </c>
      <c r="I37" s="12" t="s">
        <v>20</v>
      </c>
      <c r="J37" s="19">
        <f>(G37/D37)*100</f>
      </c>
    </row>
    <row r="38">
      <c r="A38" s="26" t="s">
        <v>99</v>
      </c>
      <c r="B38" s="12" t="s">
        <v>100</v>
      </c>
      <c r="C38" s="12" t="s">
        <v>20</v>
      </c>
      <c r="D38" s="18">
        <f>=SUM(C38:C38)</f>
      </c>
      <c r="F38" s="12" t="s">
        <v>20</v>
      </c>
      <c r="G38" s="18">
        <f>=SUM(F38:F38)</f>
      </c>
      <c r="I38" s="12" t="s">
        <v>20</v>
      </c>
      <c r="J38" s="19">
        <f>(G38/D38)*100</f>
      </c>
    </row>
    <row r="39">
      <c r="A39" s="26" t="s">
        <v>101</v>
      </c>
      <c r="B39" s="12" t="s">
        <v>102</v>
      </c>
      <c r="C39" s="12">
        <v>62</v>
      </c>
      <c r="D39" s="18">
        <f>=SUM(C39:C39)</f>
      </c>
      <c r="F39" s="12" t="s">
        <v>20</v>
      </c>
      <c r="G39" s="18">
        <f>=SUM(F39:F39)</f>
      </c>
      <c r="I39" s="12" t="s">
        <v>20</v>
      </c>
      <c r="J39" s="19">
        <f>(G39/D39)*100</f>
      </c>
    </row>
    <row r="40">
      <c r="A40" s="26" t="s">
        <v>103</v>
      </c>
      <c r="B40" s="12" t="s">
        <v>104</v>
      </c>
      <c r="C40" s="12" t="s">
        <v>20</v>
      </c>
      <c r="D40" s="18">
        <f>=SUM(C40:C40)</f>
      </c>
      <c r="F40" s="12" t="s">
        <v>20</v>
      </c>
      <c r="G40" s="18">
        <f>=SUM(F40:F40)</f>
      </c>
      <c r="I40" s="12" t="s">
        <v>20</v>
      </c>
      <c r="J40" s="19">
        <f>(G40/D40)*100</f>
      </c>
    </row>
    <row r="41">
      <c r="A41" s="26" t="s">
        <v>105</v>
      </c>
      <c r="B41" s="12" t="s">
        <v>106</v>
      </c>
      <c r="C41" s="12">
        <v>6</v>
      </c>
      <c r="D41" s="18">
        <f>=SUM(C41:C41)</f>
      </c>
      <c r="F41" s="12" t="s">
        <v>20</v>
      </c>
      <c r="G41" s="18">
        <f>=SUM(F41:F41)</f>
      </c>
      <c r="I41" s="12" t="s">
        <v>20</v>
      </c>
      <c r="J41" s="19">
        <f>(G41/D41)*100</f>
      </c>
    </row>
    <row r="42">
      <c r="A42" s="26" t="s">
        <v>107</v>
      </c>
      <c r="B42" s="12" t="s">
        <v>108</v>
      </c>
      <c r="C42" s="12" t="s">
        <v>20</v>
      </c>
      <c r="D42" s="18">
        <f>=SUM(C42:C42)</f>
      </c>
      <c r="F42" s="12" t="s">
        <v>20</v>
      </c>
      <c r="G42" s="18">
        <f>=SUM(F42:F42)</f>
      </c>
      <c r="I42" s="12" t="s">
        <v>20</v>
      </c>
      <c r="J42" s="19">
        <f>(G42/D42)*100</f>
      </c>
    </row>
    <row r="43">
      <c r="A43" s="26" t="s">
        <v>109</v>
      </c>
      <c r="B43" s="12" t="s">
        <v>110</v>
      </c>
      <c r="C43" s="12">
        <v>74</v>
      </c>
      <c r="D43" s="18">
        <f>=SUM(C43:C43)</f>
      </c>
      <c r="F43" s="12">
        <v>2</v>
      </c>
      <c r="G43" s="18">
        <f>=SUM(F43:F43)</f>
      </c>
      <c r="I43" s="12">
        <v>3</v>
      </c>
      <c r="J43" s="19">
        <f>(G43/D43)*100</f>
      </c>
    </row>
    <row r="44">
      <c r="A44" s="26" t="s">
        <v>111</v>
      </c>
      <c r="B44" s="12" t="s">
        <v>112</v>
      </c>
      <c r="C44" s="12">
        <v>40</v>
      </c>
      <c r="D44" s="18">
        <f>=SUM(C44:C44)</f>
      </c>
      <c r="F44" s="12" t="s">
        <v>20</v>
      </c>
      <c r="G44" s="18">
        <f>=SUM(F44:F44)</f>
      </c>
      <c r="I44" s="12" t="s">
        <v>20</v>
      </c>
      <c r="J44" s="19">
        <f>(G44/D44)*100</f>
      </c>
    </row>
    <row r="45">
      <c r="A45" s="26" t="s">
        <v>113</v>
      </c>
      <c r="B45" s="12" t="s">
        <v>114</v>
      </c>
      <c r="C45" s="12">
        <v>45</v>
      </c>
      <c r="D45" s="18">
        <f>=SUM(C45:C45)</f>
      </c>
      <c r="F45" s="12">
        <v>1</v>
      </c>
      <c r="G45" s="18">
        <f>=SUM(F45:F45)</f>
      </c>
      <c r="I45" s="12">
        <v>2</v>
      </c>
      <c r="J45" s="19">
        <f>(G45/D45)*100</f>
      </c>
    </row>
    <row r="46">
      <c r="A46" s="26" t="s">
        <v>115</v>
      </c>
      <c r="B46" s="12" t="s">
        <v>116</v>
      </c>
      <c r="C46" s="12">
        <v>19</v>
      </c>
      <c r="D46" s="18">
        <f>=SUM(C46:C46)</f>
      </c>
      <c r="F46" s="12" t="s">
        <v>20</v>
      </c>
      <c r="G46" s="18">
        <f>=SUM(F46:F46)</f>
      </c>
      <c r="I46" s="12" t="s">
        <v>20</v>
      </c>
      <c r="J46" s="19">
        <f>(G46/D46)*100</f>
      </c>
    </row>
    <row r="47">
      <c r="A47" s="26" t="s">
        <v>117</v>
      </c>
      <c r="B47" s="12" t="s">
        <v>118</v>
      </c>
      <c r="C47" s="12">
        <v>59</v>
      </c>
      <c r="D47" s="18">
        <f>=SUM(C47:C47)</f>
      </c>
      <c r="F47" s="12">
        <v>5</v>
      </c>
      <c r="G47" s="18">
        <f>=SUM(F47:F47)</f>
      </c>
      <c r="I47" s="12">
        <v>8</v>
      </c>
      <c r="J47" s="19">
        <f>(G47/D47)*100</f>
      </c>
    </row>
    <row r="48">
      <c r="A48" s="26" t="s">
        <v>119</v>
      </c>
      <c r="B48" s="12" t="s">
        <v>120</v>
      </c>
      <c r="C48" s="12" t="s">
        <v>20</v>
      </c>
      <c r="D48" s="18">
        <f>=SUM(C48:C48)</f>
      </c>
      <c r="F48" s="12" t="s">
        <v>20</v>
      </c>
      <c r="G48" s="18">
        <f>=SUM(F48:F48)</f>
      </c>
      <c r="I48" s="12" t="s">
        <v>20</v>
      </c>
      <c r="J48" s="19">
        <f>(G48/D48)*100</f>
      </c>
    </row>
    <row r="49">
      <c r="A49" s="26" t="s">
        <v>121</v>
      </c>
      <c r="B49" s="12" t="s">
        <v>122</v>
      </c>
      <c r="C49" s="12" t="s">
        <v>20</v>
      </c>
      <c r="D49" s="18">
        <f>=SUM(C49:C49)</f>
      </c>
      <c r="F49" s="12" t="s">
        <v>20</v>
      </c>
      <c r="G49" s="18">
        <f>=SUM(F49:F49)</f>
      </c>
      <c r="I49" s="12" t="s">
        <v>20</v>
      </c>
      <c r="J49" s="19">
        <f>(G49/D49)*100</f>
      </c>
    </row>
    <row r="50">
      <c r="A50" s="26" t="s">
        <v>123</v>
      </c>
      <c r="B50" s="12" t="s">
        <v>124</v>
      </c>
      <c r="C50" s="12">
        <v>1</v>
      </c>
      <c r="D50" s="18">
        <f>=SUM(C50:C50)</f>
      </c>
      <c r="F50" s="12" t="s">
        <v>20</v>
      </c>
      <c r="G50" s="18">
        <f>=SUM(F50:F50)</f>
      </c>
      <c r="I50" s="12" t="s">
        <v>20</v>
      </c>
      <c r="J50" s="19">
        <f>(G50/D50)*100</f>
      </c>
    </row>
    <row r="51">
      <c r="A51" s="26" t="s">
        <v>125</v>
      </c>
      <c r="B51" s="12" t="s">
        <v>126</v>
      </c>
      <c r="C51" s="12">
        <v>173</v>
      </c>
      <c r="D51" s="18">
        <f>=SUM(C51:C51)</f>
      </c>
      <c r="F51" s="12" t="s">
        <v>20</v>
      </c>
      <c r="G51" s="18">
        <f>=SUM(F51:F51)</f>
      </c>
      <c r="I51" s="12" t="s">
        <v>20</v>
      </c>
      <c r="J51" s="19">
        <f>(G51/D51)*100</f>
      </c>
    </row>
    <row r="52">
      <c r="A52" s="26" t="s">
        <v>127</v>
      </c>
      <c r="B52" s="12" t="s">
        <v>128</v>
      </c>
      <c r="C52" s="12">
        <v>62</v>
      </c>
      <c r="D52" s="18">
        <f>=SUM(C52:C52)</f>
      </c>
      <c r="F52" s="12" t="s">
        <v>20</v>
      </c>
      <c r="G52" s="18">
        <f>=SUM(F52:F52)</f>
      </c>
      <c r="I52" s="12" t="s">
        <v>20</v>
      </c>
      <c r="J52" s="19">
        <f>(G52/D52)*100</f>
      </c>
    </row>
    <row r="53">
      <c r="A53" s="26" t="s">
        <v>129</v>
      </c>
      <c r="B53" s="12" t="s">
        <v>130</v>
      </c>
      <c r="C53" s="12">
        <v>270</v>
      </c>
      <c r="D53" s="18">
        <f>=SUM(C53:C53)</f>
      </c>
      <c r="F53" s="12">
        <v>3</v>
      </c>
      <c r="G53" s="18">
        <f>=SUM(F53:F53)</f>
      </c>
      <c r="I53" s="12">
        <v>1</v>
      </c>
      <c r="J53" s="19">
        <f>(G53/D53)*100</f>
      </c>
    </row>
    <row r="54">
      <c r="A54" s="26" t="s">
        <v>131</v>
      </c>
      <c r="B54" s="12" t="s">
        <v>132</v>
      </c>
      <c r="C54" s="12" t="s">
        <v>20</v>
      </c>
      <c r="D54" s="18">
        <f>=SUM(C54:C54)</f>
      </c>
      <c r="F54" s="12" t="s">
        <v>20</v>
      </c>
      <c r="G54" s="18">
        <f>=SUM(F54:F54)</f>
      </c>
      <c r="I54" s="12" t="s">
        <v>20</v>
      </c>
      <c r="J54" s="19">
        <f>(G54/D54)*100</f>
      </c>
    </row>
    <row r="55">
      <c r="A55" s="26" t="s">
        <v>133</v>
      </c>
      <c r="B55" s="12" t="s">
        <v>134</v>
      </c>
      <c r="C55" s="12">
        <v>34</v>
      </c>
      <c r="D55" s="18">
        <f>=SUM(C55:C55)</f>
      </c>
      <c r="F55" s="12" t="s">
        <v>20</v>
      </c>
      <c r="G55" s="18">
        <f>=SUM(F55:F55)</f>
      </c>
      <c r="I55" s="12" t="s">
        <v>20</v>
      </c>
      <c r="J55" s="19">
        <f>(G55/D55)*100</f>
      </c>
    </row>
    <row r="56">
      <c r="A56" s="26" t="s">
        <v>135</v>
      </c>
      <c r="B56" s="12" t="s">
        <v>136</v>
      </c>
      <c r="C56" s="12">
        <v>3</v>
      </c>
      <c r="D56" s="18">
        <f>=SUM(C56:C56)</f>
      </c>
      <c r="F56" s="12" t="s">
        <v>20</v>
      </c>
      <c r="G56" s="18">
        <f>=SUM(F56:F56)</f>
      </c>
      <c r="I56" s="12" t="s">
        <v>20</v>
      </c>
      <c r="J56" s="19">
        <f>(G56/D56)*100</f>
      </c>
    </row>
    <row r="57">
      <c r="A57" s="26" t="s">
        <v>137</v>
      </c>
      <c r="B57" s="12" t="s">
        <v>138</v>
      </c>
      <c r="C57" s="12">
        <v>67</v>
      </c>
      <c r="D57" s="18">
        <f>=SUM(C57:C57)</f>
      </c>
      <c r="F57" s="12" t="s">
        <v>20</v>
      </c>
      <c r="G57" s="18">
        <f>=SUM(F57:F57)</f>
      </c>
      <c r="I57" s="12" t="s">
        <v>20</v>
      </c>
      <c r="J57" s="19">
        <f>(G57/D57)*100</f>
      </c>
    </row>
    <row r="58">
      <c r="A58" s="26" t="s">
        <v>139</v>
      </c>
      <c r="B58" s="12" t="s">
        <v>140</v>
      </c>
      <c r="C58" s="12">
        <v>20</v>
      </c>
      <c r="D58" s="18">
        <f>=SUM(C58:C58)</f>
      </c>
      <c r="F58" s="12" t="s">
        <v>20</v>
      </c>
      <c r="G58" s="18">
        <f>=SUM(F58:F58)</f>
      </c>
      <c r="I58" s="12" t="s">
        <v>20</v>
      </c>
      <c r="J58" s="19">
        <f>(G58/D58)*100</f>
      </c>
    </row>
    <row r="59">
      <c r="A59" s="26" t="s">
        <v>141</v>
      </c>
      <c r="B59" s="12" t="s">
        <v>142</v>
      </c>
      <c r="C59" s="12">
        <v>1</v>
      </c>
      <c r="D59" s="18">
        <f>=SUM(C59:C59)</f>
      </c>
      <c r="F59" s="12" t="s">
        <v>20</v>
      </c>
      <c r="G59" s="18">
        <f>=SUM(F59:F59)</f>
      </c>
      <c r="I59" s="12" t="s">
        <v>20</v>
      </c>
      <c r="J59" s="19">
        <f>(G59/D59)*100</f>
      </c>
    </row>
    <row r="60">
      <c r="A60" s="26" t="s">
        <v>143</v>
      </c>
      <c r="B60" s="12" t="s">
        <v>144</v>
      </c>
      <c r="C60" s="12" t="s">
        <v>20</v>
      </c>
      <c r="D60" s="18">
        <f>=SUM(C60:C60)</f>
      </c>
      <c r="F60" s="12" t="s">
        <v>20</v>
      </c>
      <c r="G60" s="18">
        <f>=SUM(F60:F60)</f>
      </c>
      <c r="I60" s="12" t="s">
        <v>20</v>
      </c>
      <c r="J60" s="19">
        <f>(G60/D60)*100</f>
      </c>
    </row>
    <row r="61">
      <c r="A61" s="26" t="s">
        <v>145</v>
      </c>
      <c r="B61" s="12" t="s">
        <v>146</v>
      </c>
      <c r="C61" s="12" t="s">
        <v>20</v>
      </c>
      <c r="D61" s="18">
        <f>=SUM(C61:C61)</f>
      </c>
      <c r="F61" s="12" t="s">
        <v>20</v>
      </c>
      <c r="G61" s="18">
        <f>=SUM(F61:F61)</f>
      </c>
      <c r="I61" s="12" t="s">
        <v>20</v>
      </c>
      <c r="J61" s="19">
        <f>(G61/D61)*100</f>
      </c>
    </row>
    <row r="62">
      <c r="A62" s="26" t="s">
        <v>147</v>
      </c>
      <c r="B62" s="12" t="s">
        <v>148</v>
      </c>
      <c r="C62" s="12" t="s">
        <v>20</v>
      </c>
      <c r="D62" s="18">
        <f>=SUM(C62:C62)</f>
      </c>
      <c r="F62" s="12" t="s">
        <v>20</v>
      </c>
      <c r="G62" s="18">
        <f>=SUM(F62:F62)</f>
      </c>
      <c r="I62" s="12" t="s">
        <v>20</v>
      </c>
      <c r="J62" s="19">
        <f>(G62/D62)*100</f>
      </c>
    </row>
    <row r="63">
      <c r="A63" s="26" t="s">
        <v>149</v>
      </c>
      <c r="B63" s="12" t="s">
        <v>150</v>
      </c>
      <c r="C63" s="12" t="s">
        <v>20</v>
      </c>
      <c r="D63" s="18">
        <f>=SUM(C63:C63)</f>
      </c>
      <c r="F63" s="12" t="s">
        <v>20</v>
      </c>
      <c r="G63" s="18">
        <f>=SUM(F63:F63)</f>
      </c>
      <c r="I63" s="12" t="s">
        <v>20</v>
      </c>
      <c r="J63" s="19">
        <f>(G63/D63)*100</f>
      </c>
    </row>
    <row r="64">
      <c r="A64" s="26" t="s">
        <v>151</v>
      </c>
      <c r="B64" s="12" t="s">
        <v>152</v>
      </c>
      <c r="C64" s="12" t="s">
        <v>20</v>
      </c>
      <c r="D64" s="18">
        <f>=SUM(C64:C64)</f>
      </c>
      <c r="F64" s="12" t="s">
        <v>20</v>
      </c>
      <c r="G64" s="18">
        <f>=SUM(F64:F64)</f>
      </c>
      <c r="I64" s="12" t="s">
        <v>20</v>
      </c>
      <c r="J64" s="19">
        <f>(G64/D64)*100</f>
      </c>
    </row>
    <row r="65">
      <c r="A65" s="26" t="s">
        <v>153</v>
      </c>
      <c r="B65" s="12" t="s">
        <v>154</v>
      </c>
      <c r="C65" s="12" t="s">
        <v>20</v>
      </c>
      <c r="D65" s="18">
        <f>=SUM(C65:C65)</f>
      </c>
      <c r="F65" s="12" t="s">
        <v>20</v>
      </c>
      <c r="G65" s="18">
        <f>=SUM(F65:F65)</f>
      </c>
      <c r="I65" s="12" t="s">
        <v>20</v>
      </c>
      <c r="J65" s="19">
        <f>(G65/D65)*100</f>
      </c>
    </row>
    <row r="66">
      <c r="A66" s="26" t="s">
        <v>155</v>
      </c>
      <c r="B66" s="12" t="s">
        <v>156</v>
      </c>
      <c r="C66" s="12" t="s">
        <v>20</v>
      </c>
      <c r="D66" s="18">
        <f>=SUM(C66:C66)</f>
      </c>
      <c r="F66" s="12" t="s">
        <v>20</v>
      </c>
      <c r="G66" s="18">
        <f>=SUM(F66:F66)</f>
      </c>
      <c r="I66" s="12" t="s">
        <v>20</v>
      </c>
      <c r="J66" s="19">
        <f>(G66/D66)*100</f>
      </c>
    </row>
    <row r="67">
      <c r="A67" s="26" t="s">
        <v>157</v>
      </c>
      <c r="B67" s="12" t="s">
        <v>158</v>
      </c>
      <c r="C67" s="12" t="s">
        <v>20</v>
      </c>
      <c r="D67" s="18">
        <f>=SUM(C67:C67)</f>
      </c>
      <c r="F67" s="12" t="s">
        <v>20</v>
      </c>
      <c r="G67" s="18">
        <f>=SUM(F67:F67)</f>
      </c>
      <c r="I67" s="12" t="s">
        <v>20</v>
      </c>
      <c r="J67" s="19">
        <f>(G67/D67)*100</f>
      </c>
    </row>
    <row r="68">
      <c r="A68" s="26" t="s">
        <v>159</v>
      </c>
      <c r="B68" s="12" t="s">
        <v>160</v>
      </c>
      <c r="C68" s="12" t="s">
        <v>20</v>
      </c>
      <c r="D68" s="18">
        <f>=SUM(C68:C68)</f>
      </c>
      <c r="F68" s="12" t="s">
        <v>20</v>
      </c>
      <c r="G68" s="18">
        <f>=SUM(F68:F68)</f>
      </c>
      <c r="I68" s="12" t="s">
        <v>20</v>
      </c>
      <c r="J68" s="19">
        <f>(G68/D68)*100</f>
      </c>
    </row>
    <row r="69">
      <c r="A69" s="26" t="s">
        <v>161</v>
      </c>
      <c r="B69" s="12" t="s">
        <v>162</v>
      </c>
      <c r="C69" s="12">
        <v>1</v>
      </c>
      <c r="D69" s="18">
        <f>=SUM(C69:C69)</f>
      </c>
      <c r="F69" s="12" t="s">
        <v>20</v>
      </c>
      <c r="G69" s="18">
        <f>=SUM(F69:F69)</f>
      </c>
      <c r="I69" s="12" t="s">
        <v>20</v>
      </c>
      <c r="J69" s="19">
        <f>(G69/D69)*100</f>
      </c>
    </row>
    <row r="70">
      <c r="A70" s="26" t="s">
        <v>163</v>
      </c>
      <c r="B70" s="12" t="s">
        <v>164</v>
      </c>
      <c r="C70" s="12" t="s">
        <v>20</v>
      </c>
      <c r="D70" s="18">
        <f>=SUM(C70:C70)</f>
      </c>
      <c r="F70" s="12" t="s">
        <v>20</v>
      </c>
      <c r="G70" s="18">
        <f>=SUM(F70:F70)</f>
      </c>
      <c r="I70" s="12" t="s">
        <v>20</v>
      </c>
      <c r="J70" s="19">
        <f>(G70/D70)*100</f>
      </c>
    </row>
    <row r="71">
      <c r="A71" s="26" t="s">
        <v>165</v>
      </c>
      <c r="B71" s="12" t="s">
        <v>166</v>
      </c>
      <c r="C71" s="12">
        <v>1</v>
      </c>
      <c r="D71" s="18">
        <f>=SUM(C71:C71)</f>
      </c>
      <c r="F71" s="12" t="s">
        <v>20</v>
      </c>
      <c r="G71" s="18">
        <f>=SUM(F71:F71)</f>
      </c>
      <c r="I71" s="12" t="s">
        <v>20</v>
      </c>
      <c r="J71" s="19">
        <f>(G71/D71)*100</f>
      </c>
    </row>
    <row r="72">
      <c r="A72" s="26" t="s">
        <v>167</v>
      </c>
      <c r="B72" s="12" t="s">
        <v>168</v>
      </c>
      <c r="C72" s="12" t="s">
        <v>20</v>
      </c>
      <c r="D72" s="18">
        <f>=SUM(C72:C72)</f>
      </c>
      <c r="F72" s="12" t="s">
        <v>20</v>
      </c>
      <c r="G72" s="18">
        <f>=SUM(F72:F72)</f>
      </c>
      <c r="I72" s="12" t="s">
        <v>20</v>
      </c>
      <c r="J72" s="19">
        <f>(G72/D72)*100</f>
      </c>
    </row>
    <row r="73">
      <c r="A73" s="26" t="s">
        <v>169</v>
      </c>
      <c r="B73" s="12" t="s">
        <v>170</v>
      </c>
      <c r="C73" s="12">
        <v>7</v>
      </c>
      <c r="D73" s="18">
        <f>=SUM(C73:C73)</f>
      </c>
      <c r="F73" s="12" t="s">
        <v>20</v>
      </c>
      <c r="G73" s="18">
        <f>=SUM(F73:F73)</f>
      </c>
      <c r="I73" s="12" t="s">
        <v>20</v>
      </c>
      <c r="J73" s="19">
        <f>(G73/D73)*100</f>
      </c>
    </row>
    <row r="74">
      <c r="A74" s="26" t="s">
        <v>171</v>
      </c>
      <c r="B74" s="12" t="s">
        <v>172</v>
      </c>
      <c r="C74" s="12" t="s">
        <v>20</v>
      </c>
      <c r="D74" s="18">
        <f>=SUM(C74:C74)</f>
      </c>
      <c r="F74" s="12" t="s">
        <v>20</v>
      </c>
      <c r="G74" s="18">
        <f>=SUM(F74:F74)</f>
      </c>
      <c r="I74" s="12" t="s">
        <v>20</v>
      </c>
      <c r="J74" s="19">
        <f>(G74/D74)*100</f>
      </c>
    </row>
    <row r="75">
      <c r="A75" s="26" t="s">
        <v>173</v>
      </c>
      <c r="B75" s="12" t="s">
        <v>174</v>
      </c>
      <c r="C75" s="12">
        <v>72</v>
      </c>
      <c r="D75" s="18">
        <f>=SUM(C75:C75)</f>
      </c>
      <c r="F75" s="12" t="s">
        <v>20</v>
      </c>
      <c r="G75" s="18">
        <f>=SUM(F75:F75)</f>
      </c>
      <c r="I75" s="12" t="s">
        <v>20</v>
      </c>
      <c r="J75" s="19">
        <f>(G75/D75)*100</f>
      </c>
    </row>
    <row r="76">
      <c r="A76" s="26" t="s">
        <v>175</v>
      </c>
      <c r="B76" s="12" t="s">
        <v>176</v>
      </c>
      <c r="C76" s="12">
        <v>4</v>
      </c>
      <c r="D76" s="18">
        <f>=SUM(C76:C76)</f>
      </c>
      <c r="F76" s="12" t="s">
        <v>20</v>
      </c>
      <c r="G76" s="18">
        <f>=SUM(F76:F76)</f>
      </c>
      <c r="I76" s="12" t="s">
        <v>20</v>
      </c>
      <c r="J76" s="19">
        <f>(G76/D76)*100</f>
      </c>
    </row>
    <row r="77">
      <c r="A77" s="26" t="s">
        <v>177</v>
      </c>
      <c r="B77" s="12" t="s">
        <v>178</v>
      </c>
      <c r="C77" s="12" t="s">
        <v>20</v>
      </c>
      <c r="D77" s="18">
        <f>=SUM(C77:C77)</f>
      </c>
      <c r="F77" s="12" t="s">
        <v>20</v>
      </c>
      <c r="G77" s="18">
        <f>=SUM(F77:F77)</f>
      </c>
      <c r="I77" s="12" t="s">
        <v>20</v>
      </c>
      <c r="J77" s="19">
        <f>(G77/D77)*100</f>
      </c>
    </row>
    <row r="78">
      <c r="A78" s="26" t="s">
        <v>179</v>
      </c>
      <c r="B78" s="12" t="s">
        <v>180</v>
      </c>
      <c r="C78" s="12">
        <v>360</v>
      </c>
      <c r="D78" s="18">
        <f>=SUM(C78:C78)</f>
      </c>
      <c r="F78" s="12">
        <v>3</v>
      </c>
      <c r="G78" s="18">
        <f>=SUM(F78:F78)</f>
      </c>
      <c r="I78" s="12">
        <v>1</v>
      </c>
      <c r="J78" s="19">
        <f>(G78/D78)*100</f>
      </c>
    </row>
    <row r="79">
      <c r="A79" s="26" t="s">
        <v>181</v>
      </c>
      <c r="B79" s="12" t="s">
        <v>182</v>
      </c>
      <c r="C79" s="12">
        <v>1</v>
      </c>
      <c r="D79" s="18">
        <f>=SUM(C79:C79)</f>
      </c>
      <c r="F79" s="12" t="s">
        <v>20</v>
      </c>
      <c r="G79" s="18">
        <f>=SUM(F79:F79)</f>
      </c>
      <c r="I79" s="12" t="s">
        <v>20</v>
      </c>
      <c r="J79" s="19">
        <f>(G79/D79)*100</f>
      </c>
    </row>
    <row r="80">
      <c r="A80" s="26" t="s">
        <v>183</v>
      </c>
      <c r="B80" s="12" t="s">
        <v>184</v>
      </c>
      <c r="C80" s="12">
        <v>25</v>
      </c>
      <c r="D80" s="18">
        <f>=SUM(C80:C80)</f>
      </c>
      <c r="F80" s="12">
        <v>2</v>
      </c>
      <c r="G80" s="18">
        <f>=SUM(F80:F80)</f>
      </c>
      <c r="I80" s="12">
        <v>8</v>
      </c>
      <c r="J80" s="19">
        <f>(G80/D80)*100</f>
      </c>
    </row>
    <row r="81">
      <c r="A81" s="26" t="s">
        <v>185</v>
      </c>
      <c r="B81" s="12" t="s">
        <v>186</v>
      </c>
      <c r="C81" s="12">
        <v>5</v>
      </c>
      <c r="D81" s="18">
        <f>=SUM(C81:C81)</f>
      </c>
      <c r="F81" s="12" t="s">
        <v>20</v>
      </c>
      <c r="G81" s="18">
        <f>=SUM(F81:F81)</f>
      </c>
      <c r="I81" s="12" t="s">
        <v>20</v>
      </c>
      <c r="J81" s="19">
        <f>(G81/D81)*100</f>
      </c>
    </row>
    <row r="82">
      <c r="A82" s="26" t="s">
        <v>187</v>
      </c>
      <c r="B82" s="12" t="s">
        <v>188</v>
      </c>
      <c r="C82" s="12" t="s">
        <v>20</v>
      </c>
      <c r="D82" s="18">
        <f>=SUM(C82:C82)</f>
      </c>
      <c r="F82" s="12" t="s">
        <v>20</v>
      </c>
      <c r="G82" s="18">
        <f>=SUM(F82:F82)</f>
      </c>
      <c r="I82" s="12" t="s">
        <v>20</v>
      </c>
      <c r="J82" s="19">
        <f>(G82/D82)*100</f>
      </c>
    </row>
    <row r="83">
      <c r="A83" s="26" t="s">
        <v>189</v>
      </c>
      <c r="B83" s="12" t="s">
        <v>190</v>
      </c>
      <c r="C83" s="12" t="s">
        <v>20</v>
      </c>
      <c r="D83" s="18">
        <f>=SUM(C83:C83)</f>
      </c>
      <c r="F83" s="12" t="s">
        <v>20</v>
      </c>
      <c r="G83" s="18">
        <f>=SUM(F83:F83)</f>
      </c>
      <c r="I83" s="12" t="s">
        <v>20</v>
      </c>
      <c r="J83" s="19">
        <f>(G83/D83)*100</f>
      </c>
    </row>
    <row r="84">
      <c r="A84" s="26" t="s">
        <v>191</v>
      </c>
      <c r="B84" s="12" t="s">
        <v>192</v>
      </c>
      <c r="C84" s="12">
        <v>1</v>
      </c>
      <c r="D84" s="18">
        <f>=SUM(C84:C84)</f>
      </c>
      <c r="F84" s="12" t="s">
        <v>20</v>
      </c>
      <c r="G84" s="18">
        <f>=SUM(F84:F84)</f>
      </c>
      <c r="I84" s="12" t="s">
        <v>20</v>
      </c>
      <c r="J84" s="19">
        <f>(G84/D84)*100</f>
      </c>
    </row>
    <row r="85">
      <c r="A85" s="26" t="s">
        <v>193</v>
      </c>
      <c r="B85" s="12" t="s">
        <v>194</v>
      </c>
      <c r="C85" s="12" t="s">
        <v>20</v>
      </c>
      <c r="D85" s="18">
        <f>=SUM(C85:C85)</f>
      </c>
      <c r="F85" s="12" t="s">
        <v>20</v>
      </c>
      <c r="G85" s="18">
        <f>=SUM(F85:F85)</f>
      </c>
      <c r="I85" s="12" t="s">
        <v>20</v>
      </c>
      <c r="J85" s="19">
        <f>(G85/D85)*100</f>
      </c>
    </row>
    <row r="86">
      <c r="A86" s="26" t="s">
        <v>195</v>
      </c>
      <c r="B86" s="12" t="s">
        <v>196</v>
      </c>
      <c r="C86" s="12" t="s">
        <v>20</v>
      </c>
      <c r="D86" s="18">
        <f>=SUM(C86:C86)</f>
      </c>
      <c r="F86" s="12" t="s">
        <v>20</v>
      </c>
      <c r="G86" s="18">
        <f>=SUM(F86:F86)</f>
      </c>
      <c r="I86" s="12" t="s">
        <v>20</v>
      </c>
      <c r="J86" s="19">
        <f>(G86/D86)*100</f>
      </c>
    </row>
    <row r="87">
      <c r="A87" s="26" t="s">
        <v>197</v>
      </c>
      <c r="B87" s="12" t="s">
        <v>198</v>
      </c>
      <c r="C87" s="12" t="s">
        <v>20</v>
      </c>
      <c r="D87" s="18">
        <f>=SUM(C87:C87)</f>
      </c>
      <c r="F87" s="12" t="s">
        <v>20</v>
      </c>
      <c r="G87" s="18">
        <f>=SUM(F87:F87)</f>
      </c>
      <c r="I87" s="12" t="s">
        <v>20</v>
      </c>
      <c r="J87" s="19">
        <f>(G87/D87)*100</f>
      </c>
    </row>
    <row r="88">
      <c r="A88" s="26" t="s">
        <v>199</v>
      </c>
      <c r="B88" s="12" t="s">
        <v>200</v>
      </c>
      <c r="C88" s="12">
        <v>2</v>
      </c>
      <c r="D88" s="18">
        <f>=SUM(C88:C88)</f>
      </c>
      <c r="F88" s="12" t="s">
        <v>20</v>
      </c>
      <c r="G88" s="18">
        <f>=SUM(F88:F88)</f>
      </c>
      <c r="I88" s="12" t="s">
        <v>20</v>
      </c>
      <c r="J88" s="19">
        <f>(G88/D88)*100</f>
      </c>
    </row>
    <row r="89">
      <c r="A89" s="26" t="s">
        <v>201</v>
      </c>
      <c r="B89" s="12" t="s">
        <v>202</v>
      </c>
      <c r="C89" s="12" t="s">
        <v>20</v>
      </c>
      <c r="D89" s="18">
        <f>=SUM(C89:C89)</f>
      </c>
      <c r="F89" s="12" t="s">
        <v>20</v>
      </c>
      <c r="G89" s="18">
        <f>=SUM(F89:F89)</f>
      </c>
      <c r="I89" s="12" t="s">
        <v>20</v>
      </c>
      <c r="J89" s="19">
        <f>(G89/D89)*100</f>
      </c>
    </row>
    <row r="90">
      <c r="A90" s="26" t="s">
        <v>203</v>
      </c>
      <c r="B90" s="12" t="s">
        <v>204</v>
      </c>
      <c r="C90" s="12">
        <v>122</v>
      </c>
      <c r="D90" s="18">
        <f>=SUM(C90:C90)</f>
      </c>
      <c r="F90" s="12">
        <v>9</v>
      </c>
      <c r="G90" s="18">
        <f>=SUM(F90:F90)</f>
      </c>
      <c r="I90" s="12">
        <v>7</v>
      </c>
      <c r="J90" s="19">
        <f>(G90/D90)*100</f>
      </c>
    </row>
    <row r="91">
      <c r="A91" s="26" t="s">
        <v>205</v>
      </c>
      <c r="B91" s="12" t="s">
        <v>206</v>
      </c>
      <c r="C91" s="12">
        <v>66</v>
      </c>
      <c r="D91" s="18">
        <f>=SUM(C91:C91)</f>
      </c>
      <c r="F91" s="12">
        <v>3</v>
      </c>
      <c r="G91" s="18">
        <f>=SUM(F91:F91)</f>
      </c>
      <c r="I91" s="12">
        <v>5</v>
      </c>
      <c r="J91" s="19">
        <f>(G91/D91)*100</f>
      </c>
    </row>
    <row r="92">
      <c r="A92" s="26" t="s">
        <v>207</v>
      </c>
      <c r="B92" s="12" t="s">
        <v>208</v>
      </c>
      <c r="C92" s="12">
        <v>52</v>
      </c>
      <c r="D92" s="18">
        <f>=SUM(C92:C92)</f>
      </c>
      <c r="F92" s="12" t="s">
        <v>20</v>
      </c>
      <c r="G92" s="18">
        <f>=SUM(F92:F92)</f>
      </c>
      <c r="I92" s="12" t="s">
        <v>20</v>
      </c>
      <c r="J92" s="19">
        <f>(G92/D92)*100</f>
      </c>
    </row>
    <row r="93">
      <c r="A93" s="26" t="s">
        <v>209</v>
      </c>
      <c r="B93" s="12" t="s">
        <v>210</v>
      </c>
      <c r="C93" s="12">
        <v>117</v>
      </c>
      <c r="D93" s="18">
        <f>=SUM(C93:C93)</f>
      </c>
      <c r="F93" s="12">
        <v>7</v>
      </c>
      <c r="G93" s="18">
        <f>=SUM(F93:F93)</f>
      </c>
      <c r="I93" s="12">
        <v>6</v>
      </c>
      <c r="J93" s="19">
        <f>(G93/D93)*100</f>
      </c>
    </row>
    <row r="94">
      <c r="A94" s="26" t="s">
        <v>211</v>
      </c>
      <c r="B94" s="12" t="s">
        <v>212</v>
      </c>
      <c r="C94" s="12">
        <v>732</v>
      </c>
      <c r="D94" s="18">
        <f>=SUM(C94:C94)</f>
      </c>
      <c r="F94" s="12">
        <v>37</v>
      </c>
      <c r="G94" s="18">
        <f>=SUM(F94:F94)</f>
      </c>
      <c r="I94" s="12">
        <v>5</v>
      </c>
      <c r="J94" s="19">
        <f>(G94/D94)*100</f>
      </c>
    </row>
    <row r="95">
      <c r="A95" s="26" t="s">
        <v>213</v>
      </c>
      <c r="B95" s="12" t="s">
        <v>214</v>
      </c>
      <c r="C95" s="12" t="s">
        <v>20</v>
      </c>
      <c r="D95" s="18">
        <f>=SUM(C95:C95)</f>
      </c>
      <c r="F95" s="12" t="s">
        <v>20</v>
      </c>
      <c r="G95" s="18">
        <f>=SUM(F95:F95)</f>
      </c>
      <c r="I95" s="12" t="s">
        <v>20</v>
      </c>
      <c r="J95" s="19">
        <f>(G95/D95)*100</f>
      </c>
    </row>
    <row r="96">
      <c r="A96" s="26" t="s">
        <v>215</v>
      </c>
      <c r="B96" s="12" t="s">
        <v>216</v>
      </c>
      <c r="C96" s="12">
        <v>1</v>
      </c>
      <c r="D96" s="18">
        <f>=SUM(C96:C96)</f>
      </c>
      <c r="F96" s="12" t="s">
        <v>20</v>
      </c>
      <c r="G96" s="18">
        <f>=SUM(F96:F96)</f>
      </c>
      <c r="I96" s="12" t="s">
        <v>20</v>
      </c>
      <c r="J96" s="19">
        <f>(G96/D96)*100</f>
      </c>
    </row>
    <row r="97">
      <c r="A97" s="26" t="s">
        <v>217</v>
      </c>
      <c r="B97" s="12" t="s">
        <v>218</v>
      </c>
      <c r="C97" s="12">
        <v>78</v>
      </c>
      <c r="D97" s="18">
        <f>=SUM(C97:C97)</f>
      </c>
      <c r="F97" s="12">
        <v>1</v>
      </c>
      <c r="G97" s="18">
        <f>=SUM(F97:F97)</f>
      </c>
      <c r="I97" s="12">
        <v>1</v>
      </c>
      <c r="J97" s="19">
        <f>(G97/D97)*100</f>
      </c>
    </row>
    <row r="98">
      <c r="A98" s="26" t="s">
        <v>219</v>
      </c>
      <c r="B98" s="12" t="s">
        <v>220</v>
      </c>
      <c r="C98" s="12">
        <v>240</v>
      </c>
      <c r="D98" s="18">
        <f>=SUM(C98:C98)</f>
      </c>
      <c r="F98" s="12">
        <v>9</v>
      </c>
      <c r="G98" s="18">
        <f>=SUM(F98:F98)</f>
      </c>
      <c r="I98" s="12">
        <v>4</v>
      </c>
      <c r="J98" s="19">
        <f>(G98/D98)*100</f>
      </c>
    </row>
    <row r="99">
      <c r="A99" s="26" t="s">
        <v>221</v>
      </c>
      <c r="B99" s="12" t="s">
        <v>222</v>
      </c>
      <c r="C99" s="12">
        <v>2</v>
      </c>
      <c r="D99" s="18">
        <f>=SUM(C99:C99)</f>
      </c>
      <c r="F99" s="12" t="s">
        <v>20</v>
      </c>
      <c r="G99" s="18">
        <f>=SUM(F99:F99)</f>
      </c>
      <c r="I99" s="12" t="s">
        <v>20</v>
      </c>
      <c r="J99" s="19">
        <f>(G99/D99)*100</f>
      </c>
    </row>
    <row r="100">
      <c r="A100" s="26" t="s">
        <v>223</v>
      </c>
      <c r="B100" s="12" t="s">
        <v>224</v>
      </c>
      <c r="C100" s="12">
        <v>1</v>
      </c>
      <c r="D100" s="18">
        <f>=SUM(C100:C100)</f>
      </c>
      <c r="F100" s="12" t="s">
        <v>20</v>
      </c>
      <c r="G100" s="18">
        <f>=SUM(F100:F100)</f>
      </c>
      <c r="I100" s="12" t="s">
        <v>20</v>
      </c>
      <c r="J100" s="19">
        <f>(G100/D100)*100</f>
      </c>
    </row>
    <row r="101">
      <c r="A101" s="26" t="s">
        <v>225</v>
      </c>
      <c r="B101" s="12" t="s">
        <v>226</v>
      </c>
      <c r="C101" s="12" t="s">
        <v>20</v>
      </c>
      <c r="D101" s="18">
        <f>=SUM(C101:C101)</f>
      </c>
      <c r="F101" s="12" t="s">
        <v>20</v>
      </c>
      <c r="G101" s="18">
        <f>=SUM(F101:F101)</f>
      </c>
      <c r="I101" s="12" t="s">
        <v>20</v>
      </c>
      <c r="J101" s="19">
        <f>(G101/D101)*100</f>
      </c>
    </row>
    <row r="102">
      <c r="A102" s="26" t="s">
        <v>227</v>
      </c>
      <c r="B102" s="12" t="s">
        <v>228</v>
      </c>
      <c r="C102" s="12" t="s">
        <v>20</v>
      </c>
      <c r="D102" s="18">
        <f>=SUM(C102:C102)</f>
      </c>
      <c r="F102" s="12" t="s">
        <v>20</v>
      </c>
      <c r="G102" s="18">
        <f>=SUM(F102:F102)</f>
      </c>
      <c r="I102" s="12" t="s">
        <v>20</v>
      </c>
      <c r="J102" s="19">
        <f>(G102/D102)*100</f>
      </c>
    </row>
    <row r="103">
      <c r="A103" s="26" t="s">
        <v>229</v>
      </c>
      <c r="B103" s="12" t="s">
        <v>230</v>
      </c>
      <c r="C103" s="12" t="s">
        <v>20</v>
      </c>
      <c r="D103" s="18">
        <f>=SUM(C103:C103)</f>
      </c>
      <c r="F103" s="12" t="s">
        <v>20</v>
      </c>
      <c r="G103" s="18">
        <f>=SUM(F103:F103)</f>
      </c>
      <c r="I103" s="12" t="s">
        <v>20</v>
      </c>
      <c r="J103" s="19">
        <f>(G103/D103)*100</f>
      </c>
    </row>
    <row r="104">
      <c r="A104" s="26" t="s">
        <v>231</v>
      </c>
      <c r="B104" s="12" t="s">
        <v>232</v>
      </c>
      <c r="C104" s="12" t="s">
        <v>20</v>
      </c>
      <c r="D104" s="18">
        <f>=SUM(C104:C104)</f>
      </c>
      <c r="F104" s="12" t="s">
        <v>20</v>
      </c>
      <c r="G104" s="18">
        <f>=SUM(F104:F104)</f>
      </c>
      <c r="I104" s="12" t="s">
        <v>20</v>
      </c>
      <c r="J104" s="19">
        <f>(G104/D104)*100</f>
      </c>
    </row>
    <row r="105">
      <c r="A105" s="26" t="s">
        <v>233</v>
      </c>
      <c r="B105" s="12" t="s">
        <v>234</v>
      </c>
      <c r="C105" s="12">
        <v>3</v>
      </c>
      <c r="D105" s="18">
        <f>=SUM(C105:C105)</f>
      </c>
      <c r="F105" s="12" t="s">
        <v>20</v>
      </c>
      <c r="G105" s="18">
        <f>=SUM(F105:F105)</f>
      </c>
      <c r="I105" s="12" t="s">
        <v>20</v>
      </c>
      <c r="J105" s="19">
        <f>(G105/D105)*100</f>
      </c>
    </row>
    <row r="106">
      <c r="A106" s="26" t="s">
        <v>235</v>
      </c>
      <c r="B106" s="12" t="s">
        <v>236</v>
      </c>
      <c r="C106" s="12">
        <v>328</v>
      </c>
      <c r="D106" s="18">
        <f>=SUM(C106:C106)</f>
      </c>
      <c r="F106" s="12">
        <v>5</v>
      </c>
      <c r="G106" s="18">
        <f>=SUM(F106:F106)</f>
      </c>
      <c r="I106" s="12">
        <v>2</v>
      </c>
      <c r="J106" s="19">
        <f>(G106/D106)*100</f>
      </c>
    </row>
    <row r="107">
      <c r="A107" s="26" t="s">
        <v>237</v>
      </c>
      <c r="B107" s="12" t="s">
        <v>238</v>
      </c>
      <c r="C107" s="12">
        <v>1</v>
      </c>
      <c r="D107" s="18">
        <f>=SUM(C107:C107)</f>
      </c>
      <c r="F107" s="12" t="s">
        <v>20</v>
      </c>
      <c r="G107" s="18">
        <f>=SUM(F107:F107)</f>
      </c>
      <c r="I107" s="12" t="s">
        <v>20</v>
      </c>
      <c r="J107" s="19">
        <f>(G107/D107)*100</f>
      </c>
    </row>
    <row r="108">
      <c r="A108" s="26" t="s">
        <v>239</v>
      </c>
      <c r="B108" s="12" t="s">
        <v>240</v>
      </c>
      <c r="C108" s="12" t="s">
        <v>20</v>
      </c>
      <c r="D108" s="18">
        <f>=SUM(C108:C108)</f>
      </c>
      <c r="F108" s="12" t="s">
        <v>20</v>
      </c>
      <c r="G108" s="18">
        <f>=SUM(F108:F108)</f>
      </c>
      <c r="I108" s="12" t="s">
        <v>20</v>
      </c>
      <c r="J108" s="19">
        <f>(G108/D108)*100</f>
      </c>
    </row>
    <row r="109">
      <c r="A109" s="26" t="s">
        <v>241</v>
      </c>
      <c r="B109" s="12" t="s">
        <v>242</v>
      </c>
      <c r="C109" s="12">
        <v>6</v>
      </c>
      <c r="D109" s="18">
        <f>=SUM(C109:C109)</f>
      </c>
      <c r="F109" s="12" t="s">
        <v>20</v>
      </c>
      <c r="G109" s="18">
        <f>=SUM(F109:F109)</f>
      </c>
      <c r="I109" s="12" t="s">
        <v>20</v>
      </c>
      <c r="J109" s="19">
        <f>(G109/D109)*100</f>
      </c>
    </row>
    <row r="110">
      <c r="A110" s="26" t="s">
        <v>243</v>
      </c>
      <c r="B110" s="12" t="s">
        <v>244</v>
      </c>
      <c r="C110" s="12" t="s">
        <v>20</v>
      </c>
      <c r="D110" s="18">
        <f>=SUM(C110:C110)</f>
      </c>
      <c r="F110" s="12" t="s">
        <v>20</v>
      </c>
      <c r="G110" s="18">
        <f>=SUM(F110:F110)</f>
      </c>
      <c r="I110" s="12" t="s">
        <v>20</v>
      </c>
      <c r="J110" s="19">
        <f>(G110/D110)*100</f>
      </c>
    </row>
    <row r="111">
      <c r="B111" s="18" t="s">
        <v>245</v>
      </c>
      <c r="C111" s="18">
        <f>=SUM(C4:C110)</f>
      </c>
      <c r="D111" s="18">
        <f>=SUM(C111:C111)</f>
      </c>
      <c r="F111" s="18">
        <f>=SUM(F4:F110)</f>
      </c>
      <c r="G111" s="18">
        <f>=SUM(F111:F111)</f>
      </c>
      <c r="I111" s="19">
        <f>=SUM(I4:I110)</f>
      </c>
      <c r="J111" s="19">
        <f>(G111/D111)*100</f>
      </c>
    </row>
    <row r="113">
      <c r="A113" s="27" t="s">
        <v>21</v>
      </c>
      <c r="B113" s="2"/>
      <c r="C113" s="2"/>
      <c r="D113" s="2"/>
      <c r="E113" s="2"/>
      <c r="F113" s="2"/>
      <c r="G113" s="2"/>
      <c r="H113" s="2"/>
      <c r="I113" s="2"/>
      <c r="J113" s="4"/>
    </row>
    <row r="114">
      <c r="A114" s="28" t="s">
        <v>246</v>
      </c>
      <c r="B114" s="12" t="s">
        <v>247</v>
      </c>
      <c r="C114" s="12">
        <v>10</v>
      </c>
      <c r="D114" s="18">
        <f>=SUM(C114:C114)</f>
      </c>
      <c r="F114" s="12">
        <v>1</v>
      </c>
      <c r="G114" s="18">
        <f>=SUM(F114:F114)</f>
      </c>
      <c r="I114" s="12">
        <v>10</v>
      </c>
      <c r="J114" s="19">
        <f>(G114/D114)*100</f>
      </c>
    </row>
    <row r="115">
      <c r="A115" s="28" t="s">
        <v>248</v>
      </c>
      <c r="B115" s="12" t="s">
        <v>249</v>
      </c>
      <c r="C115" s="12">
        <v>81</v>
      </c>
      <c r="D115" s="18">
        <f>=SUM(C115:C115)</f>
      </c>
      <c r="F115" s="12">
        <v>1</v>
      </c>
      <c r="G115" s="18">
        <f>=SUM(F115:F115)</f>
      </c>
      <c r="I115" s="12">
        <v>1</v>
      </c>
      <c r="J115" s="19">
        <f>(G115/D115)*100</f>
      </c>
    </row>
    <row r="116">
      <c r="A116" s="28" t="s">
        <v>250</v>
      </c>
      <c r="B116" s="12" t="s">
        <v>251</v>
      </c>
      <c r="C116" s="12">
        <v>1294</v>
      </c>
      <c r="D116" s="18">
        <f>=SUM(C116:C116)</f>
      </c>
      <c r="F116" s="12">
        <v>18</v>
      </c>
      <c r="G116" s="18">
        <f>=SUM(F116:F116)</f>
      </c>
      <c r="I116" s="12">
        <v>1</v>
      </c>
      <c r="J116" s="19">
        <f>(G116/D116)*100</f>
      </c>
    </row>
    <row r="117">
      <c r="A117" s="28" t="s">
        <v>252</v>
      </c>
      <c r="B117" s="12" t="s">
        <v>253</v>
      </c>
      <c r="C117" s="12">
        <v>737</v>
      </c>
      <c r="D117" s="18">
        <f>=SUM(C117:C117)</f>
      </c>
      <c r="F117" s="12">
        <v>1</v>
      </c>
      <c r="G117" s="18">
        <f>=SUM(F117:F117)</f>
      </c>
      <c r="I117" s="12">
        <v>0</v>
      </c>
      <c r="J117" s="19">
        <f>(G117/D117)*100</f>
      </c>
    </row>
    <row r="118">
      <c r="A118" s="28" t="s">
        <v>254</v>
      </c>
      <c r="B118" s="12" t="s">
        <v>255</v>
      </c>
      <c r="C118" s="12">
        <v>4</v>
      </c>
      <c r="D118" s="18">
        <f>=SUM(C118:C118)</f>
      </c>
      <c r="F118" s="12" t="s">
        <v>20</v>
      </c>
      <c r="G118" s="18">
        <f>=SUM(F118:F118)</f>
      </c>
      <c r="I118" s="12">
        <v>0</v>
      </c>
      <c r="J118" s="19">
        <f>(G118/D118)*100</f>
      </c>
    </row>
    <row r="119">
      <c r="A119" s="28" t="s">
        <v>256</v>
      </c>
      <c r="B119" s="12" t="s">
        <v>257</v>
      </c>
      <c r="C119" s="12">
        <v>85</v>
      </c>
      <c r="D119" s="18">
        <f>=SUM(C119:C119)</f>
      </c>
      <c r="F119" s="12">
        <v>2</v>
      </c>
      <c r="G119" s="18">
        <f>=SUM(F119:F119)</f>
      </c>
      <c r="I119" s="12">
        <v>2</v>
      </c>
      <c r="J119" s="19">
        <f>(G119/D119)*100</f>
      </c>
    </row>
    <row r="120">
      <c r="A120" s="28" t="s">
        <v>258</v>
      </c>
      <c r="B120" s="12" t="s">
        <v>259</v>
      </c>
      <c r="C120" s="12">
        <v>3</v>
      </c>
      <c r="D120" s="18">
        <f>=SUM(C120:C120)</f>
      </c>
      <c r="F120" s="12" t="s">
        <v>20</v>
      </c>
      <c r="G120" s="18">
        <f>=SUM(F120:F120)</f>
      </c>
      <c r="I120" s="12">
        <v>0</v>
      </c>
      <c r="J120" s="19">
        <f>(G120/D120)*100</f>
      </c>
    </row>
    <row r="121">
      <c r="A121" s="28" t="s">
        <v>260</v>
      </c>
      <c r="B121" s="12" t="s">
        <v>261</v>
      </c>
      <c r="C121" s="12">
        <v>6</v>
      </c>
      <c r="D121" s="18">
        <f>=SUM(C121:C121)</f>
      </c>
      <c r="F121" s="12" t="s">
        <v>20</v>
      </c>
      <c r="G121" s="18">
        <f>=SUM(F121:F121)</f>
      </c>
      <c r="I121" s="12">
        <v>0</v>
      </c>
      <c r="J121" s="19">
        <f>(G121/D121)*100</f>
      </c>
    </row>
    <row r="122">
      <c r="A122" s="28" t="s">
        <v>262</v>
      </c>
      <c r="B122" s="12" t="s">
        <v>263</v>
      </c>
      <c r="C122" s="12">
        <v>5</v>
      </c>
      <c r="D122" s="18">
        <f>=SUM(C122:C122)</f>
      </c>
      <c r="F122" s="12" t="s">
        <v>20</v>
      </c>
      <c r="G122" s="18">
        <f>=SUM(F122:F122)</f>
      </c>
      <c r="I122" s="12">
        <v>0</v>
      </c>
      <c r="J122" s="19">
        <f>(G122/D122)*100</f>
      </c>
    </row>
    <row r="123">
      <c r="A123" s="28" t="s">
        <v>264</v>
      </c>
      <c r="B123" s="12" t="s">
        <v>265</v>
      </c>
      <c r="C123" s="12">
        <v>291</v>
      </c>
      <c r="D123" s="18">
        <f>=SUM(C123:C123)</f>
      </c>
      <c r="F123" s="12">
        <v>1</v>
      </c>
      <c r="G123" s="18">
        <f>=SUM(F123:F123)</f>
      </c>
      <c r="I123" s="12">
        <v>0</v>
      </c>
      <c r="J123" s="19">
        <f>(G123/D123)*100</f>
      </c>
    </row>
    <row r="124">
      <c r="A124" s="28" t="s">
        <v>266</v>
      </c>
      <c r="B124" s="12" t="s">
        <v>267</v>
      </c>
      <c r="C124" s="12" t="s">
        <v>20</v>
      </c>
      <c r="D124" s="18">
        <f>=SUM(C124:C124)</f>
      </c>
      <c r="F124" s="12" t="s">
        <v>20</v>
      </c>
      <c r="G124" s="18">
        <f>=SUM(F124:F124)</f>
      </c>
      <c r="I124" s="12">
        <v>0</v>
      </c>
      <c r="J124" s="19">
        <f>(G124/D124)*100</f>
      </c>
    </row>
    <row r="125">
      <c r="A125" s="28" t="s">
        <v>268</v>
      </c>
      <c r="B125" s="12" t="s">
        <v>269</v>
      </c>
      <c r="C125" s="12">
        <v>35</v>
      </c>
      <c r="D125" s="18">
        <f>=SUM(C125:C125)</f>
      </c>
      <c r="F125" s="12" t="s">
        <v>20</v>
      </c>
      <c r="G125" s="18">
        <f>=SUM(F125:F125)</f>
      </c>
      <c r="I125" s="12">
        <v>0</v>
      </c>
      <c r="J125" s="19">
        <f>(G125/D125)*100</f>
      </c>
    </row>
    <row r="126">
      <c r="A126" s="28" t="s">
        <v>270</v>
      </c>
      <c r="B126" s="12" t="s">
        <v>271</v>
      </c>
      <c r="C126" s="12">
        <v>26</v>
      </c>
      <c r="D126" s="18">
        <f>=SUM(C126:C126)</f>
      </c>
      <c r="F126" s="12">
        <v>5</v>
      </c>
      <c r="G126" s="18">
        <f>=SUM(F126:F126)</f>
      </c>
      <c r="I126" s="12">
        <v>19</v>
      </c>
      <c r="J126" s="19">
        <f>(G126/D126)*100</f>
      </c>
    </row>
    <row r="127">
      <c r="A127" s="28" t="s">
        <v>272</v>
      </c>
      <c r="B127" s="12" t="s">
        <v>273</v>
      </c>
      <c r="C127" s="12">
        <v>89</v>
      </c>
      <c r="D127" s="18">
        <f>=SUM(C127:C127)</f>
      </c>
      <c r="F127" s="12">
        <v>1</v>
      </c>
      <c r="G127" s="18">
        <f>=SUM(F127:F127)</f>
      </c>
      <c r="I127" s="12">
        <v>1</v>
      </c>
      <c r="J127" s="19">
        <f>(G127/D127)*100</f>
      </c>
    </row>
    <row r="128">
      <c r="A128" s="28" t="s">
        <v>274</v>
      </c>
      <c r="B128" s="12" t="s">
        <v>275</v>
      </c>
      <c r="C128" s="12" t="s">
        <v>20</v>
      </c>
      <c r="D128" s="18">
        <f>=SUM(C128:C128)</f>
      </c>
      <c r="F128" s="12" t="s">
        <v>20</v>
      </c>
      <c r="G128" s="18">
        <f>=SUM(F128:F128)</f>
      </c>
      <c r="I128" s="12">
        <v>0</v>
      </c>
      <c r="J128" s="19">
        <f>(G128/D128)*100</f>
      </c>
    </row>
    <row r="129">
      <c r="B129" s="18" t="s">
        <v>245</v>
      </c>
      <c r="C129" s="18">
        <f>=SUM(C114:C128)</f>
      </c>
      <c r="D129" s="18">
        <f>=SUM(C129:C129)</f>
      </c>
      <c r="F129" s="18">
        <f>=SUM(F114:F128)</f>
      </c>
      <c r="G129" s="18">
        <f>=SUM(F129:F129)</f>
      </c>
      <c r="I129" s="19">
        <f>=SUM(I114:I128)</f>
      </c>
      <c r="J129" s="19">
        <f>(G129/D129)*100</f>
      </c>
    </row>
    <row r="131">
      <c r="A131" s="23" t="s">
        <v>276</v>
      </c>
      <c r="B131" s="2"/>
      <c r="C131" s="2"/>
      <c r="D131" s="2"/>
      <c r="E131" s="2"/>
      <c r="F131" s="2"/>
      <c r="G131" s="2"/>
      <c r="H131" s="2"/>
      <c r="I131" s="2"/>
      <c r="J131" s="4"/>
    </row>
    <row r="132">
      <c r="A132" s="10" t="s">
        <v>20</v>
      </c>
      <c r="B132" s="12" t="s">
        <v>277</v>
      </c>
      <c r="C132" s="13">
        <v>213</v>
      </c>
      <c r="D132" s="19">
        <f>=SUM(C132:C132)</f>
      </c>
      <c r="F132" s="13">
        <v>17</v>
      </c>
      <c r="G132" s="19">
        <f>=SUM(F132:F132)</f>
      </c>
      <c r="I132" s="12">
        <v>8</v>
      </c>
      <c r="J132" s="19">
        <f>(G132/D132)*100</f>
      </c>
    </row>
    <row r="133">
      <c r="A133" s="10" t="s">
        <v>20</v>
      </c>
      <c r="B133" s="12" t="s">
        <v>278</v>
      </c>
      <c r="C133" s="13" t="s">
        <v>20</v>
      </c>
      <c r="D133" s="19">
        <f>=SUM(C133:C133)</f>
      </c>
      <c r="F133" s="12" t="s">
        <v>20</v>
      </c>
      <c r="G133" s="19">
        <f>=SUM(F133:F133)</f>
      </c>
      <c r="I133" s="12" t="s">
        <v>20</v>
      </c>
      <c r="J133" s="19">
        <f>(G133/D133)*100</f>
      </c>
    </row>
    <row r="134">
      <c r="A134" s="10" t="s">
        <v>20</v>
      </c>
      <c r="B134" s="12" t="s">
        <v>279</v>
      </c>
      <c r="C134" s="13">
        <v>576</v>
      </c>
      <c r="D134" s="19">
        <f>=SUM(C134:C134)</f>
      </c>
      <c r="F134" s="13">
        <v>15</v>
      </c>
      <c r="G134" s="19">
        <f>=SUM(F134:F134)</f>
      </c>
      <c r="I134" s="12">
        <v>3</v>
      </c>
      <c r="J134" s="19">
        <f>(G134/D134)*100</f>
      </c>
    </row>
    <row r="135">
      <c r="A135" s="10" t="s">
        <v>20</v>
      </c>
      <c r="B135" s="12" t="s">
        <v>280</v>
      </c>
      <c r="C135" s="13">
        <v>75</v>
      </c>
      <c r="D135" s="19">
        <f>=SUM(C135:C135)</f>
      </c>
      <c r="F135" s="13">
        <v>3</v>
      </c>
      <c r="G135" s="19">
        <f>=SUM(F135:F135)</f>
      </c>
      <c r="I135" s="12">
        <v>4</v>
      </c>
      <c r="J135" s="19">
        <f>(G135/D135)*100</f>
      </c>
    </row>
    <row r="136">
      <c r="A136" s="10" t="s">
        <v>20</v>
      </c>
      <c r="B136" s="12" t="s">
        <v>281</v>
      </c>
      <c r="C136" s="13">
        <v>329</v>
      </c>
      <c r="D136" s="19">
        <f>=SUM(C136:C136)</f>
      </c>
      <c r="F136" s="13">
        <v>6</v>
      </c>
      <c r="G136" s="19">
        <f>=SUM(F136:F136)</f>
      </c>
      <c r="I136" s="12">
        <v>2</v>
      </c>
      <c r="J136" s="19">
        <f>(G136/D136)*100</f>
      </c>
    </row>
    <row r="137">
      <c r="A137" s="10" t="s">
        <v>20</v>
      </c>
      <c r="B137" s="12" t="s">
        <v>282</v>
      </c>
      <c r="C137" s="13">
        <v>254</v>
      </c>
      <c r="D137" s="19">
        <f>=SUM(C137:C137)</f>
      </c>
      <c r="F137" s="12" t="s">
        <v>20</v>
      </c>
      <c r="G137" s="19">
        <f>=SUM(F137:F137)</f>
      </c>
      <c r="I137" s="12" t="s">
        <v>20</v>
      </c>
      <c r="J137" s="19">
        <f>(G137/D137)*100</f>
      </c>
    </row>
    <row r="138">
      <c r="A138" s="10" t="s">
        <v>20</v>
      </c>
      <c r="B138" s="12" t="s">
        <v>283</v>
      </c>
      <c r="C138" s="13">
        <v>1427</v>
      </c>
      <c r="D138" s="19">
        <f>=SUM(C138:C138)</f>
      </c>
      <c r="F138" s="13">
        <v>34</v>
      </c>
      <c r="G138" s="19">
        <f>=SUM(F138:F138)</f>
      </c>
      <c r="I138" s="12">
        <v>2</v>
      </c>
      <c r="J138" s="19">
        <f>(G138/D138)*100</f>
      </c>
    </row>
    <row r="139">
      <c r="A139" s="10" t="s">
        <v>20</v>
      </c>
      <c r="B139" s="12" t="s">
        <v>284</v>
      </c>
      <c r="C139" s="13">
        <v>523</v>
      </c>
      <c r="D139" s="19">
        <f>=SUM(C139:C139)</f>
      </c>
      <c r="F139" s="13">
        <v>6</v>
      </c>
      <c r="G139" s="19">
        <f>=SUM(F139:F139)</f>
      </c>
      <c r="I139" s="12">
        <v>1</v>
      </c>
      <c r="J139" s="19">
        <f>(G139/D139)*100</f>
      </c>
    </row>
    <row r="140">
      <c r="A140" s="10" t="s">
        <v>20</v>
      </c>
      <c r="B140" s="12" t="s">
        <v>285</v>
      </c>
      <c r="C140" s="13">
        <v>1889</v>
      </c>
      <c r="D140" s="19">
        <f>=SUM(C140:C140)</f>
      </c>
      <c r="F140" s="13">
        <v>19</v>
      </c>
      <c r="G140" s="19">
        <f>=SUM(F140:F140)</f>
      </c>
      <c r="I140" s="12">
        <v>1</v>
      </c>
      <c r="J140" s="19">
        <f>(G140/D140)*100</f>
      </c>
    </row>
    <row r="141">
      <c r="A141" s="10" t="s">
        <v>20</v>
      </c>
      <c r="B141" s="12" t="s">
        <v>286</v>
      </c>
      <c r="C141" s="13">
        <v>27</v>
      </c>
      <c r="D141" s="19">
        <f>=SUM(C141:C141)</f>
      </c>
      <c r="F141" s="12" t="s">
        <v>20</v>
      </c>
      <c r="G141" s="19">
        <f>=SUM(F141:F141)</f>
      </c>
      <c r="I141" s="12" t="s">
        <v>20</v>
      </c>
      <c r="J141" s="19">
        <f>(G141/D141)*100</f>
      </c>
    </row>
    <row r="142">
      <c r="A142" s="10" t="s">
        <v>20</v>
      </c>
      <c r="B142" s="12" t="s">
        <v>287</v>
      </c>
      <c r="C142" s="13">
        <v>61</v>
      </c>
      <c r="D142" s="19">
        <f>=SUM(C142:C142)</f>
      </c>
      <c r="F142" s="12" t="s">
        <v>20</v>
      </c>
      <c r="G142" s="19">
        <f>=SUM(F142:F142)</f>
      </c>
      <c r="I142" s="12" t="s">
        <v>20</v>
      </c>
      <c r="J142" s="19">
        <f>(G142/D142)*100</f>
      </c>
    </row>
    <row r="143">
      <c r="B143" s="18" t="s">
        <v>245</v>
      </c>
      <c r="C143" s="18">
        <f>=SUM(C132:C142)</f>
      </c>
      <c r="D143" s="18">
        <f>=SUM(C143:C143)</f>
      </c>
      <c r="F143" s="18">
        <f>=SUM(F132:F142)</f>
      </c>
      <c r="G143" s="18">
        <f>=SUM(F143:F143)</f>
      </c>
      <c r="I143" s="19">
        <f>=SUM(I132:I142)</f>
      </c>
      <c r="J143" s="19">
        <f>(G143/D143)*100</f>
      </c>
    </row>
    <row r="146">
      <c r="C146" s="29" t="s">
        <v>0</v>
      </c>
      <c r="D146" s="4"/>
      <c r="F146" s="29" t="s">
        <v>1</v>
      </c>
      <c r="G146" s="4"/>
      <c r="I146" s="29" t="s">
        <v>2</v>
      </c>
      <c r="J146" s="4"/>
    </row>
    <row r="147">
      <c r="A147" s="30" t="s">
        <v>3</v>
      </c>
      <c r="B147" s="6" t="s">
        <v>288</v>
      </c>
      <c r="C147" s="7">
        <v>2022</v>
      </c>
      <c r="D147" s="7" t="s">
        <v>17</v>
      </c>
      <c r="F147" s="7">
        <v>2022</v>
      </c>
      <c r="G147" s="7" t="s">
        <v>17</v>
      </c>
      <c r="I147" s="7">
        <v>2022</v>
      </c>
      <c r="J147" s="7" t="s">
        <v>18</v>
      </c>
    </row>
    <row r="148">
      <c r="A148" s="26">
        <v>2</v>
      </c>
      <c r="B148" s="12" t="s">
        <v>289</v>
      </c>
      <c r="C148" s="13">
        <v>492</v>
      </c>
      <c r="D148" s="19">
        <f>=SUM(C148:C148)</f>
      </c>
      <c r="F148" s="31">
        <v>12</v>
      </c>
      <c r="G148" s="19">
        <f>=SUM(F148:F148)</f>
      </c>
      <c r="I148" s="12">
        <v>2</v>
      </c>
      <c r="J148" s="19">
        <f>(G148/D148)*100</f>
      </c>
    </row>
    <row r="149">
      <c r="A149" s="26">
        <v>5</v>
      </c>
      <c r="B149" s="12" t="s">
        <v>290</v>
      </c>
      <c r="C149" s="13">
        <v>531</v>
      </c>
      <c r="D149" s="19">
        <f>=SUM(C149:C149)</f>
      </c>
      <c r="F149" s="31">
        <v>4</v>
      </c>
      <c r="G149" s="19">
        <f>=SUM(F149:F149)</f>
      </c>
      <c r="I149" s="12">
        <v>1</v>
      </c>
      <c r="J149" s="19">
        <f>(G149/D149)*100</f>
      </c>
    </row>
    <row r="150">
      <c r="A150" s="26">
        <v>4</v>
      </c>
      <c r="B150" s="12" t="s">
        <v>291</v>
      </c>
      <c r="C150" s="13">
        <v>548</v>
      </c>
      <c r="D150" s="19">
        <f>=SUM(C150:C150)</f>
      </c>
      <c r="F150" s="31">
        <v>7</v>
      </c>
      <c r="G150" s="19">
        <f>=SUM(F150:F150)</f>
      </c>
      <c r="I150" s="12">
        <v>1</v>
      </c>
      <c r="J150" s="19">
        <f>(G150/D150)*100</f>
      </c>
    </row>
    <row r="151">
      <c r="A151" s="26">
        <v>1</v>
      </c>
      <c r="B151" s="12" t="s">
        <v>292</v>
      </c>
      <c r="C151" s="13">
        <v>113</v>
      </c>
      <c r="D151" s="19">
        <f>=SUM(C151:C151)</f>
      </c>
      <c r="F151" s="31" t="s">
        <v>20</v>
      </c>
      <c r="G151" s="19">
        <f>=SUM(F151:F151)</f>
      </c>
      <c r="I151" s="12" t="s">
        <v>20</v>
      </c>
      <c r="J151" s="19">
        <f>(G151/D151)*100</f>
      </c>
    </row>
    <row r="152">
      <c r="A152" s="26">
        <v>8</v>
      </c>
      <c r="B152" s="12" t="s">
        <v>280</v>
      </c>
      <c r="C152" s="13">
        <v>81</v>
      </c>
      <c r="D152" s="19">
        <f>=SUM(C152:C152)</f>
      </c>
      <c r="F152" s="31" t="s">
        <v>20</v>
      </c>
      <c r="G152" s="19">
        <f>=SUM(F152:F152)</f>
      </c>
      <c r="I152" s="12" t="s">
        <v>20</v>
      </c>
      <c r="J152" s="19">
        <f>(G152/D152)*100</f>
      </c>
    </row>
    <row r="153">
      <c r="A153" s="26">
        <v>3</v>
      </c>
      <c r="B153" s="12" t="s">
        <v>293</v>
      </c>
      <c r="C153" s="13">
        <v>1355</v>
      </c>
      <c r="D153" s="19">
        <f>=SUM(C153:C153)</f>
      </c>
      <c r="F153" s="31">
        <v>64</v>
      </c>
      <c r="G153" s="19">
        <f>=SUM(F153:F153)</f>
      </c>
      <c r="I153" s="12">
        <v>5</v>
      </c>
      <c r="J153" s="19">
        <f>(G153/D153)*100</f>
      </c>
    </row>
    <row r="154">
      <c r="A154" s="26">
        <v>7</v>
      </c>
      <c r="B154" s="12" t="s">
        <v>294</v>
      </c>
      <c r="C154" s="13">
        <v>100</v>
      </c>
      <c r="D154" s="19">
        <f>=SUM(C154:C154)</f>
      </c>
      <c r="F154" s="31">
        <v>1</v>
      </c>
      <c r="G154" s="19">
        <f>=SUM(F154:F154)</f>
      </c>
      <c r="I154" s="12">
        <v>1</v>
      </c>
      <c r="J154" s="19">
        <f>(G154/D154)*100</f>
      </c>
    </row>
    <row r="155">
      <c r="A155" s="26">
        <v>6</v>
      </c>
      <c r="B155" s="12" t="s">
        <v>295</v>
      </c>
      <c r="C155" s="13">
        <v>147</v>
      </c>
      <c r="D155" s="19">
        <f>=SUM(C155:C155)</f>
      </c>
      <c r="F155" s="31">
        <v>8</v>
      </c>
      <c r="G155" s="19">
        <f>=SUM(F155:F155)</f>
      </c>
      <c r="I155" s="12">
        <v>5</v>
      </c>
      <c r="J155" s="19">
        <f>(G155/D155)*100</f>
      </c>
    </row>
    <row r="158">
      <c r="C158" s="29" t="s">
        <v>0</v>
      </c>
      <c r="D158" s="4"/>
      <c r="F158" s="29" t="s">
        <v>1</v>
      </c>
      <c r="G158" s="4"/>
      <c r="I158" s="29" t="s">
        <v>2</v>
      </c>
      <c r="J158" s="4"/>
    </row>
    <row r="159">
      <c r="A159" s="30" t="s">
        <v>3</v>
      </c>
      <c r="B159" s="6" t="s">
        <v>296</v>
      </c>
      <c r="C159" s="7">
        <v>2022</v>
      </c>
      <c r="D159" s="7" t="s">
        <v>17</v>
      </c>
      <c r="F159" s="7">
        <v>2022</v>
      </c>
      <c r="G159" s="7" t="s">
        <v>17</v>
      </c>
      <c r="I159" s="7">
        <v>2022</v>
      </c>
      <c r="J159" s="7" t="s">
        <v>18</v>
      </c>
    </row>
    <row r="160">
      <c r="A160" s="26" t="s">
        <v>256</v>
      </c>
      <c r="B160" s="32" t="s">
        <v>257</v>
      </c>
      <c r="C160" s="31">
        <v>85</v>
      </c>
      <c r="D160" s="19">
        <f>=SUM(C160:C160)</f>
      </c>
      <c r="F160" s="31">
        <v>2</v>
      </c>
      <c r="G160" s="19">
        <f>=SUM(F160:F160)</f>
      </c>
      <c r="I160" s="31">
        <f>=F160/C160*100</f>
      </c>
      <c r="J160" s="19">
        <f>(G160/D160)*100</f>
      </c>
    </row>
    <row r="161">
      <c r="A161" s="26" t="s">
        <v>248</v>
      </c>
      <c r="B161" s="32" t="s">
        <v>249</v>
      </c>
      <c r="C161" s="31">
        <v>81</v>
      </c>
      <c r="D161" s="19">
        <f>=SUM(C161:C161)</f>
      </c>
      <c r="F161" s="31">
        <v>1</v>
      </c>
      <c r="G161" s="19">
        <f>=SUM(F161:F161)</f>
      </c>
      <c r="I161" s="31">
        <f>=F161/C161*100</f>
      </c>
      <c r="J161" s="19">
        <f>(G161/D161)*100</f>
      </c>
    </row>
    <row r="162">
      <c r="A162" s="26" t="s">
        <v>272</v>
      </c>
      <c r="B162" s="32" t="s">
        <v>273</v>
      </c>
      <c r="C162" s="31">
        <v>89</v>
      </c>
      <c r="D162" s="19">
        <f>=SUM(C162:C162)</f>
      </c>
      <c r="F162" s="31">
        <v>1</v>
      </c>
      <c r="G162" s="19">
        <f>=SUM(F162:F162)</f>
      </c>
      <c r="I162" s="31">
        <f>=F162/C162*100</f>
      </c>
      <c r="J162" s="19">
        <f>(G162/D162)*100</f>
      </c>
    </row>
    <row r="163">
      <c r="A163" s="26" t="s">
        <v>264</v>
      </c>
      <c r="B163" s="32" t="s">
        <v>265</v>
      </c>
      <c r="C163" s="31">
        <v>291</v>
      </c>
      <c r="D163" s="19">
        <f>=SUM(C163:C163)</f>
      </c>
      <c r="F163" s="31">
        <v>1</v>
      </c>
      <c r="G163" s="19">
        <f>=SUM(F163:F163)</f>
      </c>
      <c r="I163" s="31">
        <f>=F163/C163*100</f>
      </c>
      <c r="J163" s="19">
        <f>(G163/D163)*100</f>
      </c>
    </row>
    <row r="164">
      <c r="A164" s="26" t="s">
        <v>252</v>
      </c>
      <c r="B164" s="32" t="s">
        <v>253</v>
      </c>
      <c r="C164" s="31">
        <v>737</v>
      </c>
      <c r="D164" s="19">
        <f>=SUM(C164:C164)</f>
      </c>
      <c r="F164" s="31">
        <v>1</v>
      </c>
      <c r="G164" s="19">
        <f>=SUM(F164:F164)</f>
      </c>
      <c r="I164" s="31">
        <f>=F164/C164*100</f>
      </c>
      <c r="J164" s="19">
        <f>(G164/D164)*100</f>
      </c>
    </row>
    <row r="165">
      <c r="A165" s="26" t="s">
        <v>262</v>
      </c>
      <c r="B165" s="32" t="s">
        <v>263</v>
      </c>
      <c r="C165" s="31">
        <v>5</v>
      </c>
      <c r="D165" s="19">
        <f>=SUM(C165:C165)</f>
      </c>
      <c r="F165" s="31">
        <v>0</v>
      </c>
      <c r="G165" s="19">
        <f>=SUM(F165:F165)</f>
      </c>
      <c r="I165" s="31">
        <f>=F165/C165*100</f>
      </c>
      <c r="J165" s="19">
        <f>(G165/D165)*100</f>
      </c>
    </row>
    <row r="166">
      <c r="A166" s="26" t="s">
        <v>258</v>
      </c>
      <c r="B166" s="32" t="s">
        <v>259</v>
      </c>
      <c r="C166" s="31">
        <v>3</v>
      </c>
      <c r="D166" s="19">
        <f>=SUM(C166:C166)</f>
      </c>
      <c r="F166" s="31">
        <v>0</v>
      </c>
      <c r="G166" s="19">
        <f>=SUM(F166:F166)</f>
      </c>
      <c r="I166" s="31">
        <f>=F166/C166*100</f>
      </c>
      <c r="J166" s="19">
        <f>(G166/D166)*100</f>
      </c>
    </row>
    <row r="167">
      <c r="A167" s="26" t="s">
        <v>270</v>
      </c>
      <c r="B167" s="32" t="s">
        <v>271</v>
      </c>
      <c r="C167" s="31">
        <v>26</v>
      </c>
      <c r="D167" s="19">
        <f>=SUM(C167:C167)</f>
      </c>
      <c r="F167" s="31">
        <v>5</v>
      </c>
      <c r="G167" s="19">
        <f>=SUM(F167:F167)</f>
      </c>
      <c r="I167" s="31">
        <f>=F167/C167*100</f>
      </c>
      <c r="J167" s="19">
        <f>(G167/D167)*100</f>
      </c>
    </row>
    <row r="168">
      <c r="A168" s="26" t="s">
        <v>266</v>
      </c>
      <c r="B168" s="32" t="s">
        <v>267</v>
      </c>
      <c r="C168" s="31">
        <v>0</v>
      </c>
      <c r="D168" s="19">
        <f>=SUM(C168:C168)</f>
      </c>
      <c r="F168" s="31">
        <v>0</v>
      </c>
      <c r="G168" s="19">
        <f>=SUM(F168:F168)</f>
      </c>
      <c r="I168" s="31">
        <f>=F168/C168*100</f>
      </c>
      <c r="J168" s="19">
        <f>(G168/D168)*100</f>
      </c>
    </row>
    <row r="169">
      <c r="A169" s="26" t="s">
        <v>250</v>
      </c>
      <c r="B169" s="32" t="s">
        <v>251</v>
      </c>
      <c r="C169" s="31">
        <v>1294</v>
      </c>
      <c r="D169" s="19">
        <f>=SUM(C169:C169)</f>
      </c>
      <c r="F169" s="31">
        <v>18</v>
      </c>
      <c r="G169" s="19">
        <f>=SUM(F169:F169)</f>
      </c>
      <c r="I169" s="31">
        <f>=F169/C169*100</f>
      </c>
      <c r="J169" s="19">
        <f>(G169/D169)*100</f>
      </c>
    </row>
    <row r="170">
      <c r="A170" s="26" t="s">
        <v>246</v>
      </c>
      <c r="B170" s="32" t="s">
        <v>247</v>
      </c>
      <c r="C170" s="31">
        <v>10</v>
      </c>
      <c r="D170" s="19">
        <f>=SUM(C170:C170)</f>
      </c>
      <c r="F170" s="31">
        <v>1</v>
      </c>
      <c r="G170" s="19">
        <f>=SUM(F170:F170)</f>
      </c>
      <c r="I170" s="31">
        <f>=F170/C170*100</f>
      </c>
      <c r="J170" s="19">
        <f>(G170/D170)*100</f>
      </c>
    </row>
    <row r="171">
      <c r="A171" s="26" t="s">
        <v>268</v>
      </c>
      <c r="B171" s="32" t="s">
        <v>269</v>
      </c>
      <c r="C171" s="31">
        <v>35</v>
      </c>
      <c r="D171" s="19">
        <f>=SUM(C171:C171)</f>
      </c>
      <c r="F171" s="31">
        <v>0</v>
      </c>
      <c r="G171" s="19">
        <f>=SUM(F171:F171)</f>
      </c>
      <c r="I171" s="31">
        <f>=F171/C171*100</f>
      </c>
      <c r="J171" s="19">
        <f>(G171/D171)*100</f>
      </c>
    </row>
    <row r="172">
      <c r="A172" s="26" t="s">
        <v>254</v>
      </c>
      <c r="B172" s="32" t="s">
        <v>255</v>
      </c>
      <c r="C172" s="31">
        <v>4</v>
      </c>
      <c r="D172" s="19">
        <f>=SUM(C172:C172)</f>
      </c>
      <c r="F172" s="31">
        <v>0</v>
      </c>
      <c r="G172" s="19">
        <f>=SUM(F172:F172)</f>
      </c>
      <c r="I172" s="31">
        <f>=F172/C172*100</f>
      </c>
      <c r="J172" s="19">
        <f>(G172/D172)*100</f>
      </c>
    </row>
    <row r="173">
      <c r="A173" s="26" t="s">
        <v>274</v>
      </c>
      <c r="B173" s="32" t="s">
        <v>275</v>
      </c>
      <c r="C173" s="31">
        <v>0</v>
      </c>
      <c r="D173" s="19">
        <f>=SUM(C173:C173)</f>
      </c>
      <c r="F173" s="31">
        <v>0</v>
      </c>
      <c r="G173" s="19">
        <f>=SUM(F173:F173)</f>
      </c>
      <c r="I173" s="31">
        <f>=F173/C173*100</f>
      </c>
      <c r="J173" s="19">
        <f>(G173/D173)*100</f>
      </c>
    </row>
    <row r="174">
      <c r="A174" s="26" t="s">
        <v>260</v>
      </c>
      <c r="B174" s="32" t="s">
        <v>261</v>
      </c>
      <c r="C174" s="31">
        <v>6</v>
      </c>
      <c r="D174" s="19">
        <f>=SUM(C174:C174)</f>
      </c>
      <c r="F174" s="31">
        <v>0</v>
      </c>
      <c r="G174" s="19">
        <f>=SUM(F174:F174)</f>
      </c>
      <c r="I174" s="31">
        <f>=F174/C174*100</f>
      </c>
      <c r="J174" s="19">
        <f>(G174/D174)*100</f>
      </c>
    </row>
    <row r="176">
      <c r="A176" s="26">
        <v>2</v>
      </c>
      <c r="B176" s="33" t="s">
        <v>297</v>
      </c>
      <c r="C176" s="31">
        <v>166</v>
      </c>
      <c r="D176" s="19">
        <f>=SUM(C176:C176)</f>
      </c>
      <c r="F176" s="31">
        <v>3</v>
      </c>
      <c r="G176" s="19">
        <f>=SUM(F176:F176)</f>
      </c>
      <c r="I176" s="31">
        <f>=F176/C176*100</f>
      </c>
      <c r="J176" s="19">
        <f>(G176/D176)*100</f>
      </c>
    </row>
    <row r="177">
      <c r="A177" s="26">
        <v>3</v>
      </c>
      <c r="B177" s="33" t="s">
        <v>298</v>
      </c>
      <c r="C177" s="31">
        <v>2449</v>
      </c>
      <c r="D177" s="19">
        <f>=SUM(C177:C177)</f>
      </c>
      <c r="F177" s="31">
        <v>21</v>
      </c>
      <c r="G177" s="19">
        <f>=SUM(F177:F177)</f>
      </c>
      <c r="I177" s="31">
        <f>=F177/C177*100</f>
      </c>
      <c r="J177" s="19">
        <f>(G177/D177)*100</f>
      </c>
    </row>
    <row r="178">
      <c r="A178" s="26">
        <v>4</v>
      </c>
      <c r="B178" s="33" t="s">
        <v>280</v>
      </c>
      <c r="C178" s="31">
        <v>51</v>
      </c>
      <c r="D178" s="19">
        <f>=SUM(C178:C178)</f>
      </c>
      <c r="F178" s="31">
        <v>6</v>
      </c>
      <c r="G178" s="19">
        <f>=SUM(F178:F178)</f>
      </c>
      <c r="I178" s="31">
        <f>=F178/C178*100</f>
      </c>
      <c r="J178" s="19">
        <f>(G178/D178)*100</f>
      </c>
    </row>
  </sheetData>
  <mergeCells>
    <mergeCell ref="C1:D1"/>
    <mergeCell ref="F1:G1"/>
    <mergeCell ref="I1:J1"/>
    <mergeCell ref="A3:J3"/>
    <mergeCell ref="A113:J113"/>
    <mergeCell ref="A131:J131"/>
    <mergeCell ref="C146:D146"/>
    <mergeCell ref="F146:G146"/>
    <mergeCell ref="I146:J146"/>
    <mergeCell ref="C158:D158"/>
    <mergeCell ref="F158:G158"/>
    <mergeCell ref="I158:J158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E143"/>
  <sheetViews>
    <sheetView workbookViewId="0"/>
  </sheetViews>
  <sheetFormatPr defaultRowHeight="15"/>
  <cols>
    <col min="2" max="2" width="35" customWidth="1"/>
  </cols>
  <sheetData>
    <row r="1" ht="22" customHeight="1" s="34" customFormat="1">
      <c r="C1" s="3" t="s">
        <v>0</v>
      </c>
      <c r="D1" s="36"/>
      <c r="E1" s="36"/>
      <c r="F1" s="36"/>
      <c r="G1" s="36"/>
      <c r="H1" s="36"/>
      <c r="I1" s="36"/>
      <c r="J1" s="36"/>
      <c r="K1" s="37"/>
      <c r="M1" s="3" t="s">
        <v>1</v>
      </c>
      <c r="N1" s="36"/>
      <c r="O1" s="36"/>
      <c r="P1" s="36"/>
      <c r="Q1" s="36"/>
      <c r="R1" s="36"/>
      <c r="S1" s="36"/>
      <c r="T1" s="36"/>
      <c r="U1" s="37"/>
      <c r="W1" s="3" t="s">
        <v>2</v>
      </c>
      <c r="X1" s="36"/>
      <c r="Y1" s="36"/>
      <c r="Z1" s="36"/>
      <c r="AA1" s="36"/>
      <c r="AB1" s="36"/>
      <c r="AC1" s="36"/>
      <c r="AD1" s="36"/>
      <c r="AE1" s="37"/>
    </row>
    <row r="2" ht="65" customHeight="1" s="35" customFormat="1">
      <c r="A2" s="38" t="s">
        <v>3</v>
      </c>
      <c r="B2" s="40" t="s">
        <v>29</v>
      </c>
      <c r="C2" s="41" t="s">
        <v>299</v>
      </c>
      <c r="D2" s="41" t="s">
        <v>300</v>
      </c>
      <c r="E2" s="41" t="s">
        <v>301</v>
      </c>
      <c r="F2" s="41" t="s">
        <v>302</v>
      </c>
      <c r="G2" s="41" t="s">
        <v>303</v>
      </c>
      <c r="H2" s="41" t="s">
        <v>304</v>
      </c>
      <c r="I2" s="41" t="s">
        <v>305</v>
      </c>
      <c r="J2" s="41" t="s">
        <v>306</v>
      </c>
      <c r="K2" s="39" t="s">
        <v>17</v>
      </c>
      <c r="M2" s="42" t="s">
        <v>299</v>
      </c>
      <c r="N2" s="42" t="s">
        <v>300</v>
      </c>
      <c r="O2" s="42" t="s">
        <v>301</v>
      </c>
      <c r="P2" s="42" t="s">
        <v>302</v>
      </c>
      <c r="Q2" s="42" t="s">
        <v>303</v>
      </c>
      <c r="R2" s="42" t="s">
        <v>304</v>
      </c>
      <c r="S2" s="42" t="s">
        <v>305</v>
      </c>
      <c r="T2" s="42" t="s">
        <v>306</v>
      </c>
      <c r="U2" s="39" t="s">
        <v>17</v>
      </c>
      <c r="W2" s="42" t="s">
        <v>299</v>
      </c>
      <c r="X2" s="42" t="s">
        <v>300</v>
      </c>
      <c r="Y2" s="42" t="s">
        <v>301</v>
      </c>
      <c r="Z2" s="42" t="s">
        <v>302</v>
      </c>
      <c r="AA2" s="42" t="s">
        <v>303</v>
      </c>
      <c r="AB2" s="42" t="s">
        <v>304</v>
      </c>
      <c r="AC2" s="42" t="s">
        <v>305</v>
      </c>
      <c r="AD2" s="42" t="s">
        <v>306</v>
      </c>
      <c r="AE2" s="39" t="s">
        <v>18</v>
      </c>
    </row>
    <row r="3">
      <c r="A3" s="11" t="s">
        <v>19</v>
      </c>
    </row>
    <row r="4">
      <c r="A4" s="43" t="s">
        <v>31</v>
      </c>
      <c r="B4" s="12" t="s">
        <v>32</v>
      </c>
      <c r="C4" s="12" t="s">
        <v>20</v>
      </c>
      <c r="D4" s="12" t="s">
        <v>20</v>
      </c>
      <c r="E4" s="12" t="s">
        <v>20</v>
      </c>
      <c r="F4" s="12" t="s">
        <v>20</v>
      </c>
      <c r="G4" s="12" t="s">
        <v>20</v>
      </c>
      <c r="H4" s="12" t="s">
        <v>20</v>
      </c>
      <c r="I4" s="12" t="s">
        <v>20</v>
      </c>
      <c r="J4" s="13">
        <v>1</v>
      </c>
      <c r="K4" s="19">
        <f>=SUM(C4:J4)</f>
      </c>
      <c r="M4" s="12" t="s">
        <v>20</v>
      </c>
      <c r="N4" s="12" t="s">
        <v>20</v>
      </c>
      <c r="O4" s="12" t="s">
        <v>20</v>
      </c>
      <c r="P4" s="12" t="s">
        <v>20</v>
      </c>
      <c r="Q4" s="12" t="s">
        <v>20</v>
      </c>
      <c r="R4" s="12" t="s">
        <v>20</v>
      </c>
      <c r="S4" s="12" t="s">
        <v>20</v>
      </c>
      <c r="T4" s="12" t="s">
        <v>20</v>
      </c>
      <c r="U4" s="19">
        <f>=SUM(M4:T4)</f>
      </c>
      <c r="W4" s="12" t="s">
        <v>20</v>
      </c>
      <c r="X4" s="12" t="s">
        <v>20</v>
      </c>
      <c r="Y4" s="12" t="s">
        <v>20</v>
      </c>
      <c r="Z4" s="12" t="s">
        <v>20</v>
      </c>
      <c r="AA4" s="12" t="s">
        <v>20</v>
      </c>
      <c r="AB4" s="12" t="s">
        <v>20</v>
      </c>
      <c r="AC4" s="12" t="s">
        <v>20</v>
      </c>
      <c r="AD4" s="12" t="s">
        <v>20</v>
      </c>
      <c r="AE4" s="19">
        <f>(U4/K4)*100</f>
      </c>
    </row>
    <row r="5">
      <c r="A5" s="43" t="s">
        <v>33</v>
      </c>
      <c r="B5" s="12" t="s">
        <v>34</v>
      </c>
      <c r="C5" s="12" t="s">
        <v>20</v>
      </c>
      <c r="D5" s="12" t="s">
        <v>20</v>
      </c>
      <c r="E5" s="12" t="s">
        <v>20</v>
      </c>
      <c r="F5" s="12" t="s">
        <v>20</v>
      </c>
      <c r="G5" s="12" t="s">
        <v>20</v>
      </c>
      <c r="H5" s="12" t="s">
        <v>20</v>
      </c>
      <c r="I5" s="12" t="s">
        <v>20</v>
      </c>
      <c r="J5" s="12" t="s">
        <v>20</v>
      </c>
      <c r="K5" s="19">
        <f>=SUM(C5:J5)</f>
      </c>
      <c r="M5" s="12" t="s">
        <v>20</v>
      </c>
      <c r="N5" s="12" t="s">
        <v>20</v>
      </c>
      <c r="O5" s="12" t="s">
        <v>20</v>
      </c>
      <c r="P5" s="12" t="s">
        <v>20</v>
      </c>
      <c r="Q5" s="12" t="s">
        <v>20</v>
      </c>
      <c r="R5" s="12" t="s">
        <v>20</v>
      </c>
      <c r="S5" s="12" t="s">
        <v>20</v>
      </c>
      <c r="T5" s="12" t="s">
        <v>20</v>
      </c>
      <c r="U5" s="19">
        <f>=SUM(M5:T5)</f>
      </c>
      <c r="W5" s="12" t="s">
        <v>20</v>
      </c>
      <c r="X5" s="12" t="s">
        <v>20</v>
      </c>
      <c r="Y5" s="12" t="s">
        <v>20</v>
      </c>
      <c r="Z5" s="12" t="s">
        <v>20</v>
      </c>
      <c r="AA5" s="12" t="s">
        <v>20</v>
      </c>
      <c r="AB5" s="12" t="s">
        <v>20</v>
      </c>
      <c r="AC5" s="12" t="s">
        <v>20</v>
      </c>
      <c r="AD5" s="12" t="s">
        <v>20</v>
      </c>
      <c r="AE5" s="19">
        <f>(U5/K5)*100</f>
      </c>
    </row>
    <row r="6">
      <c r="A6" s="43" t="s">
        <v>35</v>
      </c>
      <c r="B6" s="12" t="s">
        <v>36</v>
      </c>
      <c r="C6" s="12" t="s">
        <v>20</v>
      </c>
      <c r="D6" s="12" t="s">
        <v>20</v>
      </c>
      <c r="E6" s="12" t="s">
        <v>20</v>
      </c>
      <c r="F6" s="12" t="s">
        <v>20</v>
      </c>
      <c r="G6" s="12" t="s">
        <v>20</v>
      </c>
      <c r="H6" s="12" t="s">
        <v>20</v>
      </c>
      <c r="I6" s="12" t="s">
        <v>20</v>
      </c>
      <c r="J6" s="12" t="s">
        <v>20</v>
      </c>
      <c r="K6" s="19">
        <f>=SUM(C6:J6)</f>
      </c>
      <c r="M6" s="12" t="s">
        <v>20</v>
      </c>
      <c r="N6" s="12" t="s">
        <v>20</v>
      </c>
      <c r="O6" s="12" t="s">
        <v>20</v>
      </c>
      <c r="P6" s="12" t="s">
        <v>20</v>
      </c>
      <c r="Q6" s="12" t="s">
        <v>20</v>
      </c>
      <c r="R6" s="12" t="s">
        <v>20</v>
      </c>
      <c r="S6" s="12" t="s">
        <v>20</v>
      </c>
      <c r="T6" s="12" t="s">
        <v>20</v>
      </c>
      <c r="U6" s="19">
        <f>=SUM(M6:T6)</f>
      </c>
      <c r="W6" s="12" t="s">
        <v>20</v>
      </c>
      <c r="X6" s="12" t="s">
        <v>20</v>
      </c>
      <c r="Y6" s="12" t="s">
        <v>20</v>
      </c>
      <c r="Z6" s="12" t="s">
        <v>20</v>
      </c>
      <c r="AA6" s="12" t="s">
        <v>20</v>
      </c>
      <c r="AB6" s="12" t="s">
        <v>20</v>
      </c>
      <c r="AC6" s="12" t="s">
        <v>20</v>
      </c>
      <c r="AD6" s="12" t="s">
        <v>20</v>
      </c>
      <c r="AE6" s="19">
        <f>(U6/K6)*100</f>
      </c>
    </row>
    <row r="7">
      <c r="A7" s="43" t="s">
        <v>37</v>
      </c>
      <c r="B7" s="12" t="s">
        <v>38</v>
      </c>
      <c r="C7" s="12" t="s">
        <v>20</v>
      </c>
      <c r="D7" s="12" t="s">
        <v>20</v>
      </c>
      <c r="E7" s="12" t="s">
        <v>20</v>
      </c>
      <c r="F7" s="12" t="s">
        <v>20</v>
      </c>
      <c r="G7" s="12" t="s">
        <v>20</v>
      </c>
      <c r="H7" s="12" t="s">
        <v>20</v>
      </c>
      <c r="I7" s="12" t="s">
        <v>20</v>
      </c>
      <c r="J7" s="12" t="s">
        <v>20</v>
      </c>
      <c r="K7" s="19">
        <f>=SUM(C7:J7)</f>
      </c>
      <c r="M7" s="12" t="s">
        <v>20</v>
      </c>
      <c r="N7" s="12" t="s">
        <v>20</v>
      </c>
      <c r="O7" s="12" t="s">
        <v>20</v>
      </c>
      <c r="P7" s="12" t="s">
        <v>20</v>
      </c>
      <c r="Q7" s="12" t="s">
        <v>20</v>
      </c>
      <c r="R7" s="12" t="s">
        <v>20</v>
      </c>
      <c r="S7" s="12" t="s">
        <v>20</v>
      </c>
      <c r="T7" s="12" t="s">
        <v>20</v>
      </c>
      <c r="U7" s="19">
        <f>=SUM(M7:T7)</f>
      </c>
      <c r="W7" s="12" t="s">
        <v>20</v>
      </c>
      <c r="X7" s="12" t="s">
        <v>20</v>
      </c>
      <c r="Y7" s="12" t="s">
        <v>20</v>
      </c>
      <c r="Z7" s="12" t="s">
        <v>20</v>
      </c>
      <c r="AA7" s="12" t="s">
        <v>20</v>
      </c>
      <c r="AB7" s="12" t="s">
        <v>20</v>
      </c>
      <c r="AC7" s="12" t="s">
        <v>20</v>
      </c>
      <c r="AD7" s="12" t="s">
        <v>20</v>
      </c>
      <c r="AE7" s="19">
        <f>(U7/K7)*100</f>
      </c>
    </row>
    <row r="8">
      <c r="A8" s="43" t="s">
        <v>39</v>
      </c>
      <c r="B8" s="12" t="s">
        <v>40</v>
      </c>
      <c r="C8" s="12" t="s">
        <v>20</v>
      </c>
      <c r="D8" s="12" t="s">
        <v>20</v>
      </c>
      <c r="E8" s="12" t="s">
        <v>20</v>
      </c>
      <c r="F8" s="12" t="s">
        <v>20</v>
      </c>
      <c r="G8" s="12" t="s">
        <v>20</v>
      </c>
      <c r="H8" s="12" t="s">
        <v>20</v>
      </c>
      <c r="I8" s="12" t="s">
        <v>20</v>
      </c>
      <c r="J8" s="12" t="s">
        <v>20</v>
      </c>
      <c r="K8" s="19">
        <f>=SUM(C8:J8)</f>
      </c>
      <c r="M8" s="12" t="s">
        <v>20</v>
      </c>
      <c r="N8" s="12" t="s">
        <v>20</v>
      </c>
      <c r="O8" s="12" t="s">
        <v>20</v>
      </c>
      <c r="P8" s="12" t="s">
        <v>20</v>
      </c>
      <c r="Q8" s="12" t="s">
        <v>20</v>
      </c>
      <c r="R8" s="12" t="s">
        <v>20</v>
      </c>
      <c r="S8" s="12" t="s">
        <v>20</v>
      </c>
      <c r="T8" s="12" t="s">
        <v>20</v>
      </c>
      <c r="U8" s="19">
        <f>=SUM(M8:T8)</f>
      </c>
      <c r="W8" s="12" t="s">
        <v>20</v>
      </c>
      <c r="X8" s="12" t="s">
        <v>20</v>
      </c>
      <c r="Y8" s="12" t="s">
        <v>20</v>
      </c>
      <c r="Z8" s="12" t="s">
        <v>20</v>
      </c>
      <c r="AA8" s="12" t="s">
        <v>20</v>
      </c>
      <c r="AB8" s="12" t="s">
        <v>20</v>
      </c>
      <c r="AC8" s="12" t="s">
        <v>20</v>
      </c>
      <c r="AD8" s="12" t="s">
        <v>20</v>
      </c>
      <c r="AE8" s="19">
        <f>(U8/K8)*100</f>
      </c>
    </row>
    <row r="9">
      <c r="A9" s="43" t="s">
        <v>41</v>
      </c>
      <c r="B9" s="12" t="s">
        <v>42</v>
      </c>
      <c r="C9" s="12" t="s">
        <v>20</v>
      </c>
      <c r="D9" s="12" t="s">
        <v>20</v>
      </c>
      <c r="E9" s="12" t="s">
        <v>20</v>
      </c>
      <c r="F9" s="12" t="s">
        <v>20</v>
      </c>
      <c r="G9" s="12" t="s">
        <v>20</v>
      </c>
      <c r="H9" s="12" t="s">
        <v>20</v>
      </c>
      <c r="I9" s="12" t="s">
        <v>20</v>
      </c>
      <c r="J9" s="12" t="s">
        <v>20</v>
      </c>
      <c r="K9" s="19">
        <f>=SUM(C9:J9)</f>
      </c>
      <c r="M9" s="12" t="s">
        <v>20</v>
      </c>
      <c r="N9" s="12" t="s">
        <v>20</v>
      </c>
      <c r="O9" s="12" t="s">
        <v>20</v>
      </c>
      <c r="P9" s="12" t="s">
        <v>20</v>
      </c>
      <c r="Q9" s="12" t="s">
        <v>20</v>
      </c>
      <c r="R9" s="12" t="s">
        <v>20</v>
      </c>
      <c r="S9" s="12" t="s">
        <v>20</v>
      </c>
      <c r="T9" s="12" t="s">
        <v>20</v>
      </c>
      <c r="U9" s="19">
        <f>=SUM(M9:T9)</f>
      </c>
      <c r="W9" s="12" t="s">
        <v>20</v>
      </c>
      <c r="X9" s="12" t="s">
        <v>20</v>
      </c>
      <c r="Y9" s="12" t="s">
        <v>20</v>
      </c>
      <c r="Z9" s="12" t="s">
        <v>20</v>
      </c>
      <c r="AA9" s="12" t="s">
        <v>20</v>
      </c>
      <c r="AB9" s="12" t="s">
        <v>20</v>
      </c>
      <c r="AC9" s="12" t="s">
        <v>20</v>
      </c>
      <c r="AD9" s="12" t="s">
        <v>20</v>
      </c>
      <c r="AE9" s="19">
        <f>(U9/K9)*100</f>
      </c>
    </row>
    <row r="10">
      <c r="A10" s="43" t="s">
        <v>43</v>
      </c>
      <c r="B10" s="12" t="s">
        <v>44</v>
      </c>
      <c r="C10" s="13">
        <v>3</v>
      </c>
      <c r="D10" s="13">
        <v>4</v>
      </c>
      <c r="E10" s="13">
        <v>4</v>
      </c>
      <c r="F10" s="13">
        <v>3</v>
      </c>
      <c r="G10" s="13">
        <v>2</v>
      </c>
      <c r="H10" s="13">
        <v>3</v>
      </c>
      <c r="I10" s="13">
        <v>1</v>
      </c>
      <c r="J10" s="12" t="s">
        <v>20</v>
      </c>
      <c r="K10" s="19">
        <f>=SUM(C10:J10)</f>
      </c>
      <c r="M10" s="12" t="s">
        <v>20</v>
      </c>
      <c r="N10" s="13">
        <v>1</v>
      </c>
      <c r="O10" s="12" t="s">
        <v>20</v>
      </c>
      <c r="P10" s="12" t="s">
        <v>20</v>
      </c>
      <c r="Q10" s="12" t="s">
        <v>20</v>
      </c>
      <c r="R10" s="12" t="s">
        <v>20</v>
      </c>
      <c r="S10" s="12" t="s">
        <v>20</v>
      </c>
      <c r="T10" s="12" t="s">
        <v>20</v>
      </c>
      <c r="U10" s="19">
        <f>=SUM(M10:T10)</f>
      </c>
      <c r="W10" s="12" t="s">
        <v>20</v>
      </c>
      <c r="X10" s="12">
        <v>25</v>
      </c>
      <c r="Y10" s="12" t="s">
        <v>20</v>
      </c>
      <c r="Z10" s="12" t="s">
        <v>20</v>
      </c>
      <c r="AA10" s="12" t="s">
        <v>20</v>
      </c>
      <c r="AB10" s="12" t="s">
        <v>20</v>
      </c>
      <c r="AC10" s="12" t="s">
        <v>20</v>
      </c>
      <c r="AD10" s="12" t="s">
        <v>20</v>
      </c>
      <c r="AE10" s="19">
        <f>(U10/K10)*100</f>
      </c>
    </row>
    <row r="11">
      <c r="A11" s="43" t="s">
        <v>45</v>
      </c>
      <c r="B11" s="12" t="s">
        <v>46</v>
      </c>
      <c r="C11" s="13">
        <v>11</v>
      </c>
      <c r="D11" s="13">
        <v>10</v>
      </c>
      <c r="E11" s="13">
        <v>8</v>
      </c>
      <c r="F11" s="13">
        <v>12</v>
      </c>
      <c r="G11" s="13">
        <v>8</v>
      </c>
      <c r="H11" s="13">
        <v>7</v>
      </c>
      <c r="I11" s="13">
        <v>3</v>
      </c>
      <c r="J11" s="12" t="s">
        <v>20</v>
      </c>
      <c r="K11" s="19">
        <f>=SUM(C11:J11)</f>
      </c>
      <c r="M11" s="12" t="s">
        <v>20</v>
      </c>
      <c r="N11" s="12" t="s">
        <v>20</v>
      </c>
      <c r="O11" s="12" t="s">
        <v>20</v>
      </c>
      <c r="P11" s="12" t="s">
        <v>20</v>
      </c>
      <c r="Q11" s="12" t="s">
        <v>20</v>
      </c>
      <c r="R11" s="12" t="s">
        <v>20</v>
      </c>
      <c r="S11" s="12" t="s">
        <v>20</v>
      </c>
      <c r="T11" s="12" t="s">
        <v>20</v>
      </c>
      <c r="U11" s="19">
        <f>=SUM(M11:T11)</f>
      </c>
      <c r="W11" s="12" t="s">
        <v>20</v>
      </c>
      <c r="X11" s="12" t="s">
        <v>20</v>
      </c>
      <c r="Y11" s="12" t="s">
        <v>20</v>
      </c>
      <c r="Z11" s="12" t="s">
        <v>20</v>
      </c>
      <c r="AA11" s="12" t="s">
        <v>20</v>
      </c>
      <c r="AB11" s="12" t="s">
        <v>20</v>
      </c>
      <c r="AC11" s="12" t="s">
        <v>20</v>
      </c>
      <c r="AD11" s="12" t="s">
        <v>20</v>
      </c>
      <c r="AE11" s="19">
        <f>(U11/K11)*100</f>
      </c>
    </row>
    <row r="12">
      <c r="A12" s="43" t="s">
        <v>47</v>
      </c>
      <c r="B12" s="12" t="s">
        <v>48</v>
      </c>
      <c r="C12" s="12" t="s">
        <v>20</v>
      </c>
      <c r="D12" s="12" t="s">
        <v>20</v>
      </c>
      <c r="E12" s="12" t="s">
        <v>20</v>
      </c>
      <c r="F12" s="12" t="s">
        <v>20</v>
      </c>
      <c r="G12" s="12" t="s">
        <v>20</v>
      </c>
      <c r="H12" s="12" t="s">
        <v>20</v>
      </c>
      <c r="I12" s="12" t="s">
        <v>20</v>
      </c>
      <c r="J12" s="12" t="s">
        <v>20</v>
      </c>
      <c r="K12" s="19">
        <f>=SUM(C12:J12)</f>
      </c>
      <c r="M12" s="12" t="s">
        <v>20</v>
      </c>
      <c r="N12" s="12" t="s">
        <v>20</v>
      </c>
      <c r="O12" s="12" t="s">
        <v>20</v>
      </c>
      <c r="P12" s="12" t="s">
        <v>20</v>
      </c>
      <c r="Q12" s="12" t="s">
        <v>20</v>
      </c>
      <c r="R12" s="12" t="s">
        <v>20</v>
      </c>
      <c r="S12" s="12" t="s">
        <v>20</v>
      </c>
      <c r="T12" s="12" t="s">
        <v>20</v>
      </c>
      <c r="U12" s="19">
        <f>=SUM(M12:T12)</f>
      </c>
      <c r="W12" s="12" t="s">
        <v>20</v>
      </c>
      <c r="X12" s="12" t="s">
        <v>20</v>
      </c>
      <c r="Y12" s="12" t="s">
        <v>20</v>
      </c>
      <c r="Z12" s="12" t="s">
        <v>20</v>
      </c>
      <c r="AA12" s="12" t="s">
        <v>20</v>
      </c>
      <c r="AB12" s="12" t="s">
        <v>20</v>
      </c>
      <c r="AC12" s="12" t="s">
        <v>20</v>
      </c>
      <c r="AD12" s="12" t="s">
        <v>20</v>
      </c>
      <c r="AE12" s="19">
        <f>(U12/K12)*100</f>
      </c>
    </row>
    <row r="13">
      <c r="A13" s="43" t="s">
        <v>49</v>
      </c>
      <c r="B13" s="12" t="s">
        <v>50</v>
      </c>
      <c r="C13" s="13">
        <v>1</v>
      </c>
      <c r="D13" s="12" t="s">
        <v>20</v>
      </c>
      <c r="E13" s="12" t="s">
        <v>20</v>
      </c>
      <c r="F13" s="12" t="s">
        <v>20</v>
      </c>
      <c r="G13" s="12" t="s">
        <v>20</v>
      </c>
      <c r="H13" s="12" t="s">
        <v>20</v>
      </c>
      <c r="I13" s="12" t="s">
        <v>20</v>
      </c>
      <c r="J13" s="12" t="s">
        <v>20</v>
      </c>
      <c r="K13" s="19">
        <f>=SUM(C13:J13)</f>
      </c>
      <c r="M13" s="12" t="s">
        <v>20</v>
      </c>
      <c r="N13" s="12" t="s">
        <v>20</v>
      </c>
      <c r="O13" s="12" t="s">
        <v>20</v>
      </c>
      <c r="P13" s="12" t="s">
        <v>20</v>
      </c>
      <c r="Q13" s="12" t="s">
        <v>20</v>
      </c>
      <c r="R13" s="12" t="s">
        <v>20</v>
      </c>
      <c r="S13" s="12" t="s">
        <v>20</v>
      </c>
      <c r="T13" s="12" t="s">
        <v>20</v>
      </c>
      <c r="U13" s="19">
        <f>=SUM(M13:T13)</f>
      </c>
      <c r="W13" s="12" t="s">
        <v>20</v>
      </c>
      <c r="X13" s="12" t="s">
        <v>20</v>
      </c>
      <c r="Y13" s="12" t="s">
        <v>20</v>
      </c>
      <c r="Z13" s="12" t="s">
        <v>20</v>
      </c>
      <c r="AA13" s="12" t="s">
        <v>20</v>
      </c>
      <c r="AB13" s="12" t="s">
        <v>20</v>
      </c>
      <c r="AC13" s="12" t="s">
        <v>20</v>
      </c>
      <c r="AD13" s="12" t="s">
        <v>20</v>
      </c>
      <c r="AE13" s="19">
        <f>(U13/K13)*100</f>
      </c>
    </row>
    <row r="14">
      <c r="A14" s="43" t="s">
        <v>51</v>
      </c>
      <c r="B14" s="12" t="s">
        <v>52</v>
      </c>
      <c r="C14" s="12" t="s">
        <v>20</v>
      </c>
      <c r="D14" s="12" t="s">
        <v>20</v>
      </c>
      <c r="E14" s="12" t="s">
        <v>20</v>
      </c>
      <c r="F14" s="12" t="s">
        <v>20</v>
      </c>
      <c r="G14" s="12" t="s">
        <v>20</v>
      </c>
      <c r="H14" s="12" t="s">
        <v>20</v>
      </c>
      <c r="I14" s="12" t="s">
        <v>20</v>
      </c>
      <c r="J14" s="12" t="s">
        <v>20</v>
      </c>
      <c r="K14" s="19">
        <f>=SUM(C14:J14)</f>
      </c>
      <c r="M14" s="12" t="s">
        <v>20</v>
      </c>
      <c r="N14" s="12" t="s">
        <v>20</v>
      </c>
      <c r="O14" s="12" t="s">
        <v>20</v>
      </c>
      <c r="P14" s="12" t="s">
        <v>20</v>
      </c>
      <c r="Q14" s="12" t="s">
        <v>20</v>
      </c>
      <c r="R14" s="12" t="s">
        <v>20</v>
      </c>
      <c r="S14" s="12" t="s">
        <v>20</v>
      </c>
      <c r="T14" s="12" t="s">
        <v>20</v>
      </c>
      <c r="U14" s="19">
        <f>=SUM(M14:T14)</f>
      </c>
      <c r="W14" s="12" t="s">
        <v>20</v>
      </c>
      <c r="X14" s="12" t="s">
        <v>20</v>
      </c>
      <c r="Y14" s="12" t="s">
        <v>20</v>
      </c>
      <c r="Z14" s="12" t="s">
        <v>20</v>
      </c>
      <c r="AA14" s="12" t="s">
        <v>20</v>
      </c>
      <c r="AB14" s="12" t="s">
        <v>20</v>
      </c>
      <c r="AC14" s="12" t="s">
        <v>20</v>
      </c>
      <c r="AD14" s="12" t="s">
        <v>20</v>
      </c>
      <c r="AE14" s="19">
        <f>(U14/K14)*100</f>
      </c>
    </row>
    <row r="15">
      <c r="A15" s="43" t="s">
        <v>53</v>
      </c>
      <c r="B15" s="12" t="s">
        <v>54</v>
      </c>
      <c r="C15" s="12" t="s">
        <v>20</v>
      </c>
      <c r="D15" s="12" t="s">
        <v>20</v>
      </c>
      <c r="E15" s="12" t="s">
        <v>20</v>
      </c>
      <c r="F15" s="12" t="s">
        <v>20</v>
      </c>
      <c r="G15" s="12" t="s">
        <v>20</v>
      </c>
      <c r="H15" s="12" t="s">
        <v>20</v>
      </c>
      <c r="I15" s="12" t="s">
        <v>20</v>
      </c>
      <c r="J15" s="12" t="s">
        <v>20</v>
      </c>
      <c r="K15" s="19">
        <f>=SUM(C15:J15)</f>
      </c>
      <c r="M15" s="12" t="s">
        <v>20</v>
      </c>
      <c r="N15" s="12" t="s">
        <v>20</v>
      </c>
      <c r="O15" s="12" t="s">
        <v>20</v>
      </c>
      <c r="P15" s="12" t="s">
        <v>20</v>
      </c>
      <c r="Q15" s="12" t="s">
        <v>20</v>
      </c>
      <c r="R15" s="12" t="s">
        <v>20</v>
      </c>
      <c r="S15" s="12" t="s">
        <v>20</v>
      </c>
      <c r="T15" s="12" t="s">
        <v>20</v>
      </c>
      <c r="U15" s="19">
        <f>=SUM(M15:T15)</f>
      </c>
      <c r="W15" s="12" t="s">
        <v>20</v>
      </c>
      <c r="X15" s="12" t="s">
        <v>20</v>
      </c>
      <c r="Y15" s="12" t="s">
        <v>20</v>
      </c>
      <c r="Z15" s="12" t="s">
        <v>20</v>
      </c>
      <c r="AA15" s="12" t="s">
        <v>20</v>
      </c>
      <c r="AB15" s="12" t="s">
        <v>20</v>
      </c>
      <c r="AC15" s="12" t="s">
        <v>20</v>
      </c>
      <c r="AD15" s="12" t="s">
        <v>20</v>
      </c>
      <c r="AE15" s="19">
        <f>(U15/K15)*100</f>
      </c>
    </row>
    <row r="16">
      <c r="A16" s="43" t="s">
        <v>55</v>
      </c>
      <c r="B16" s="12" t="s">
        <v>56</v>
      </c>
      <c r="C16" s="12" t="s">
        <v>20</v>
      </c>
      <c r="D16" s="12" t="s">
        <v>20</v>
      </c>
      <c r="E16" s="12" t="s">
        <v>20</v>
      </c>
      <c r="F16" s="12" t="s">
        <v>20</v>
      </c>
      <c r="G16" s="12" t="s">
        <v>20</v>
      </c>
      <c r="H16" s="12" t="s">
        <v>20</v>
      </c>
      <c r="I16" s="12" t="s">
        <v>20</v>
      </c>
      <c r="J16" s="12" t="s">
        <v>20</v>
      </c>
      <c r="K16" s="19">
        <f>=SUM(C16:J16)</f>
      </c>
      <c r="M16" s="12" t="s">
        <v>20</v>
      </c>
      <c r="N16" s="12" t="s">
        <v>20</v>
      </c>
      <c r="O16" s="12" t="s">
        <v>20</v>
      </c>
      <c r="P16" s="12" t="s">
        <v>20</v>
      </c>
      <c r="Q16" s="12" t="s">
        <v>20</v>
      </c>
      <c r="R16" s="12" t="s">
        <v>20</v>
      </c>
      <c r="S16" s="12" t="s">
        <v>20</v>
      </c>
      <c r="T16" s="12" t="s">
        <v>20</v>
      </c>
      <c r="U16" s="19">
        <f>=SUM(M16:T16)</f>
      </c>
      <c r="W16" s="12" t="s">
        <v>20</v>
      </c>
      <c r="X16" s="12" t="s">
        <v>20</v>
      </c>
      <c r="Y16" s="12" t="s">
        <v>20</v>
      </c>
      <c r="Z16" s="12" t="s">
        <v>20</v>
      </c>
      <c r="AA16" s="12" t="s">
        <v>20</v>
      </c>
      <c r="AB16" s="12" t="s">
        <v>20</v>
      </c>
      <c r="AC16" s="12" t="s">
        <v>20</v>
      </c>
      <c r="AD16" s="12" t="s">
        <v>20</v>
      </c>
      <c r="AE16" s="19">
        <f>(U16/K16)*100</f>
      </c>
    </row>
    <row r="17">
      <c r="A17" s="43" t="s">
        <v>57</v>
      </c>
      <c r="B17" s="12" t="s">
        <v>58</v>
      </c>
      <c r="C17" s="13">
        <v>3</v>
      </c>
      <c r="D17" s="13">
        <v>4</v>
      </c>
      <c r="E17" s="13">
        <v>5</v>
      </c>
      <c r="F17" s="13">
        <v>3</v>
      </c>
      <c r="G17" s="13">
        <v>1</v>
      </c>
      <c r="H17" s="13">
        <v>1</v>
      </c>
      <c r="I17" s="13">
        <v>2</v>
      </c>
      <c r="J17" s="12" t="s">
        <v>20</v>
      </c>
      <c r="K17" s="19">
        <f>=SUM(C17:J17)</f>
      </c>
      <c r="M17" s="12" t="s">
        <v>20</v>
      </c>
      <c r="N17" s="12" t="s">
        <v>20</v>
      </c>
      <c r="O17" s="13">
        <v>1</v>
      </c>
      <c r="P17" s="13">
        <v>1</v>
      </c>
      <c r="Q17" s="12" t="s">
        <v>20</v>
      </c>
      <c r="R17" s="12" t="s">
        <v>20</v>
      </c>
      <c r="S17" s="12" t="s">
        <v>20</v>
      </c>
      <c r="T17" s="12" t="s">
        <v>20</v>
      </c>
      <c r="U17" s="19">
        <f>=SUM(M17:T17)</f>
      </c>
      <c r="W17" s="12" t="s">
        <v>20</v>
      </c>
      <c r="X17" s="12" t="s">
        <v>20</v>
      </c>
      <c r="Y17" s="12">
        <v>20</v>
      </c>
      <c r="Z17" s="12">
        <v>33</v>
      </c>
      <c r="AA17" s="12" t="s">
        <v>20</v>
      </c>
      <c r="AB17" s="12" t="s">
        <v>20</v>
      </c>
      <c r="AC17" s="12" t="s">
        <v>20</v>
      </c>
      <c r="AD17" s="12" t="s">
        <v>20</v>
      </c>
      <c r="AE17" s="19">
        <f>(U17/K17)*100</f>
      </c>
    </row>
    <row r="18">
      <c r="A18" s="43" t="s">
        <v>59</v>
      </c>
      <c r="B18" s="12" t="s">
        <v>60</v>
      </c>
      <c r="C18" s="13">
        <v>1</v>
      </c>
      <c r="D18" s="13">
        <v>1</v>
      </c>
      <c r="E18" s="13">
        <v>1</v>
      </c>
      <c r="F18" s="13">
        <v>1</v>
      </c>
      <c r="G18" s="12" t="s">
        <v>20</v>
      </c>
      <c r="H18" s="13">
        <v>2</v>
      </c>
      <c r="I18" s="12" t="s">
        <v>20</v>
      </c>
      <c r="J18" s="12" t="s">
        <v>20</v>
      </c>
      <c r="K18" s="19">
        <f>=SUM(C18:J18)</f>
      </c>
      <c r="M18" s="12" t="s">
        <v>20</v>
      </c>
      <c r="N18" s="12" t="s">
        <v>20</v>
      </c>
      <c r="O18" s="12" t="s">
        <v>20</v>
      </c>
      <c r="P18" s="12" t="s">
        <v>20</v>
      </c>
      <c r="Q18" s="12" t="s">
        <v>20</v>
      </c>
      <c r="R18" s="12" t="s">
        <v>20</v>
      </c>
      <c r="S18" s="12" t="s">
        <v>20</v>
      </c>
      <c r="T18" s="12" t="s">
        <v>20</v>
      </c>
      <c r="U18" s="19">
        <f>=SUM(M18:T18)</f>
      </c>
      <c r="W18" s="12" t="s">
        <v>20</v>
      </c>
      <c r="X18" s="12" t="s">
        <v>20</v>
      </c>
      <c r="Y18" s="12" t="s">
        <v>20</v>
      </c>
      <c r="Z18" s="12" t="s">
        <v>20</v>
      </c>
      <c r="AA18" s="12" t="s">
        <v>20</v>
      </c>
      <c r="AB18" s="12" t="s">
        <v>20</v>
      </c>
      <c r="AC18" s="12" t="s">
        <v>20</v>
      </c>
      <c r="AD18" s="12" t="s">
        <v>20</v>
      </c>
      <c r="AE18" s="19">
        <f>(U18/K18)*100</f>
      </c>
    </row>
    <row r="19">
      <c r="A19" s="43" t="s">
        <v>61</v>
      </c>
      <c r="B19" s="12" t="s">
        <v>62</v>
      </c>
      <c r="C19" s="12" t="s">
        <v>20</v>
      </c>
      <c r="D19" s="12" t="s">
        <v>20</v>
      </c>
      <c r="E19" s="12" t="s">
        <v>20</v>
      </c>
      <c r="F19" s="12" t="s">
        <v>20</v>
      </c>
      <c r="G19" s="12" t="s">
        <v>20</v>
      </c>
      <c r="H19" s="12" t="s">
        <v>20</v>
      </c>
      <c r="I19" s="12" t="s">
        <v>20</v>
      </c>
      <c r="J19" s="12" t="s">
        <v>20</v>
      </c>
      <c r="K19" s="19">
        <f>=SUM(C19:J19)</f>
      </c>
      <c r="M19" s="12" t="s">
        <v>20</v>
      </c>
      <c r="N19" s="12" t="s">
        <v>20</v>
      </c>
      <c r="O19" s="12" t="s">
        <v>20</v>
      </c>
      <c r="P19" s="12" t="s">
        <v>20</v>
      </c>
      <c r="Q19" s="12" t="s">
        <v>20</v>
      </c>
      <c r="R19" s="12" t="s">
        <v>20</v>
      </c>
      <c r="S19" s="12" t="s">
        <v>20</v>
      </c>
      <c r="T19" s="12" t="s">
        <v>20</v>
      </c>
      <c r="U19" s="19">
        <f>=SUM(M19:T19)</f>
      </c>
      <c r="W19" s="12" t="s">
        <v>20</v>
      </c>
      <c r="X19" s="12" t="s">
        <v>20</v>
      </c>
      <c r="Y19" s="12" t="s">
        <v>20</v>
      </c>
      <c r="Z19" s="12" t="s">
        <v>20</v>
      </c>
      <c r="AA19" s="12" t="s">
        <v>20</v>
      </c>
      <c r="AB19" s="12" t="s">
        <v>20</v>
      </c>
      <c r="AC19" s="12" t="s">
        <v>20</v>
      </c>
      <c r="AD19" s="12" t="s">
        <v>20</v>
      </c>
      <c r="AE19" s="19">
        <f>(U19/K19)*100</f>
      </c>
    </row>
    <row r="20">
      <c r="A20" s="43" t="s">
        <v>63</v>
      </c>
      <c r="B20" s="12" t="s">
        <v>64</v>
      </c>
      <c r="C20" s="12" t="s">
        <v>20</v>
      </c>
      <c r="D20" s="13">
        <v>1</v>
      </c>
      <c r="E20" s="13">
        <v>1</v>
      </c>
      <c r="F20" s="12" t="s">
        <v>20</v>
      </c>
      <c r="G20" s="12" t="s">
        <v>20</v>
      </c>
      <c r="H20" s="12" t="s">
        <v>20</v>
      </c>
      <c r="I20" s="12" t="s">
        <v>20</v>
      </c>
      <c r="J20" s="12" t="s">
        <v>20</v>
      </c>
      <c r="K20" s="19">
        <f>=SUM(C20:J20)</f>
      </c>
      <c r="M20" s="12" t="s">
        <v>20</v>
      </c>
      <c r="N20" s="12" t="s">
        <v>20</v>
      </c>
      <c r="O20" s="12" t="s">
        <v>20</v>
      </c>
      <c r="P20" s="12" t="s">
        <v>20</v>
      </c>
      <c r="Q20" s="12" t="s">
        <v>20</v>
      </c>
      <c r="R20" s="12" t="s">
        <v>20</v>
      </c>
      <c r="S20" s="12" t="s">
        <v>20</v>
      </c>
      <c r="T20" s="12" t="s">
        <v>20</v>
      </c>
      <c r="U20" s="19">
        <f>=SUM(M20:T20)</f>
      </c>
      <c r="W20" s="12" t="s">
        <v>20</v>
      </c>
      <c r="X20" s="12" t="s">
        <v>20</v>
      </c>
      <c r="Y20" s="12" t="s">
        <v>20</v>
      </c>
      <c r="Z20" s="12" t="s">
        <v>20</v>
      </c>
      <c r="AA20" s="12" t="s">
        <v>20</v>
      </c>
      <c r="AB20" s="12" t="s">
        <v>20</v>
      </c>
      <c r="AC20" s="12" t="s">
        <v>20</v>
      </c>
      <c r="AD20" s="12" t="s">
        <v>20</v>
      </c>
      <c r="AE20" s="19">
        <f>(U20/K20)*100</f>
      </c>
    </row>
    <row r="21">
      <c r="A21" s="43" t="s">
        <v>65</v>
      </c>
      <c r="B21" s="12" t="s">
        <v>66</v>
      </c>
      <c r="C21" s="12" t="s">
        <v>20</v>
      </c>
      <c r="D21" s="13">
        <v>4</v>
      </c>
      <c r="E21" s="13">
        <v>1</v>
      </c>
      <c r="F21" s="12" t="s">
        <v>20</v>
      </c>
      <c r="G21" s="12" t="s">
        <v>20</v>
      </c>
      <c r="H21" s="12" t="s">
        <v>20</v>
      </c>
      <c r="I21" s="12" t="s">
        <v>20</v>
      </c>
      <c r="J21" s="12" t="s">
        <v>20</v>
      </c>
      <c r="K21" s="19">
        <f>=SUM(C21:J21)</f>
      </c>
      <c r="M21" s="12" t="s">
        <v>20</v>
      </c>
      <c r="N21" s="12" t="s">
        <v>20</v>
      </c>
      <c r="O21" s="12" t="s">
        <v>20</v>
      </c>
      <c r="P21" s="12" t="s">
        <v>20</v>
      </c>
      <c r="Q21" s="12" t="s">
        <v>20</v>
      </c>
      <c r="R21" s="12" t="s">
        <v>20</v>
      </c>
      <c r="S21" s="12" t="s">
        <v>20</v>
      </c>
      <c r="T21" s="12" t="s">
        <v>20</v>
      </c>
      <c r="U21" s="19">
        <f>=SUM(M21:T21)</f>
      </c>
      <c r="W21" s="12" t="s">
        <v>20</v>
      </c>
      <c r="X21" s="12" t="s">
        <v>20</v>
      </c>
      <c r="Y21" s="12" t="s">
        <v>20</v>
      </c>
      <c r="Z21" s="12" t="s">
        <v>20</v>
      </c>
      <c r="AA21" s="12" t="s">
        <v>20</v>
      </c>
      <c r="AB21" s="12" t="s">
        <v>20</v>
      </c>
      <c r="AC21" s="12" t="s">
        <v>20</v>
      </c>
      <c r="AD21" s="12" t="s">
        <v>20</v>
      </c>
      <c r="AE21" s="19">
        <f>(U21/K21)*100</f>
      </c>
    </row>
    <row r="22">
      <c r="A22" s="43" t="s">
        <v>67</v>
      </c>
      <c r="B22" s="12" t="s">
        <v>68</v>
      </c>
      <c r="C22" s="13">
        <v>12</v>
      </c>
      <c r="D22" s="13">
        <v>3</v>
      </c>
      <c r="E22" s="13">
        <v>6</v>
      </c>
      <c r="F22" s="13">
        <v>8</v>
      </c>
      <c r="G22" s="13">
        <v>6</v>
      </c>
      <c r="H22" s="13">
        <v>5</v>
      </c>
      <c r="I22" s="13">
        <v>5</v>
      </c>
      <c r="J22" s="12" t="s">
        <v>20</v>
      </c>
      <c r="K22" s="19">
        <f>=SUM(C22:J22)</f>
      </c>
      <c r="M22" s="12" t="s">
        <v>20</v>
      </c>
      <c r="N22" s="12" t="s">
        <v>20</v>
      </c>
      <c r="O22" s="12" t="s">
        <v>20</v>
      </c>
      <c r="P22" s="12" t="s">
        <v>20</v>
      </c>
      <c r="Q22" s="12" t="s">
        <v>20</v>
      </c>
      <c r="R22" s="13">
        <v>1</v>
      </c>
      <c r="S22" s="12" t="s">
        <v>20</v>
      </c>
      <c r="T22" s="12" t="s">
        <v>20</v>
      </c>
      <c r="U22" s="19">
        <f>=SUM(M22:T22)</f>
      </c>
      <c r="W22" s="12" t="s">
        <v>20</v>
      </c>
      <c r="X22" s="12" t="s">
        <v>20</v>
      </c>
      <c r="Y22" s="12" t="s">
        <v>20</v>
      </c>
      <c r="Z22" s="12" t="s">
        <v>20</v>
      </c>
      <c r="AA22" s="12" t="s">
        <v>20</v>
      </c>
      <c r="AB22" s="12">
        <v>20</v>
      </c>
      <c r="AC22" s="12" t="s">
        <v>20</v>
      </c>
      <c r="AD22" s="12" t="s">
        <v>20</v>
      </c>
      <c r="AE22" s="19">
        <f>(U22/K22)*100</f>
      </c>
    </row>
    <row r="23">
      <c r="A23" s="43" t="s">
        <v>69</v>
      </c>
      <c r="B23" s="12" t="s">
        <v>70</v>
      </c>
      <c r="C23" s="12" t="s">
        <v>20</v>
      </c>
      <c r="D23" s="12" t="s">
        <v>20</v>
      </c>
      <c r="E23" s="12" t="s">
        <v>20</v>
      </c>
      <c r="F23" s="12" t="s">
        <v>20</v>
      </c>
      <c r="G23" s="12" t="s">
        <v>20</v>
      </c>
      <c r="H23" s="12" t="s">
        <v>20</v>
      </c>
      <c r="I23" s="12" t="s">
        <v>20</v>
      </c>
      <c r="J23" s="12" t="s">
        <v>20</v>
      </c>
      <c r="K23" s="19">
        <f>=SUM(C23:J23)</f>
      </c>
      <c r="M23" s="12" t="s">
        <v>20</v>
      </c>
      <c r="N23" s="12" t="s">
        <v>20</v>
      </c>
      <c r="O23" s="12" t="s">
        <v>20</v>
      </c>
      <c r="P23" s="12" t="s">
        <v>20</v>
      </c>
      <c r="Q23" s="12" t="s">
        <v>20</v>
      </c>
      <c r="R23" s="12" t="s">
        <v>20</v>
      </c>
      <c r="S23" s="12" t="s">
        <v>20</v>
      </c>
      <c r="T23" s="12" t="s">
        <v>20</v>
      </c>
      <c r="U23" s="19">
        <f>=SUM(M23:T23)</f>
      </c>
      <c r="W23" s="12" t="s">
        <v>20</v>
      </c>
      <c r="X23" s="12" t="s">
        <v>20</v>
      </c>
      <c r="Y23" s="12" t="s">
        <v>20</v>
      </c>
      <c r="Z23" s="12" t="s">
        <v>20</v>
      </c>
      <c r="AA23" s="12" t="s">
        <v>20</v>
      </c>
      <c r="AB23" s="12" t="s">
        <v>20</v>
      </c>
      <c r="AC23" s="12" t="s">
        <v>20</v>
      </c>
      <c r="AD23" s="12" t="s">
        <v>20</v>
      </c>
      <c r="AE23" s="19">
        <f>(U23/K23)*100</f>
      </c>
    </row>
    <row r="24">
      <c r="A24" s="43" t="s">
        <v>71</v>
      </c>
      <c r="B24" s="12" t="s">
        <v>72</v>
      </c>
      <c r="C24" s="12" t="s">
        <v>20</v>
      </c>
      <c r="D24" s="12" t="s">
        <v>20</v>
      </c>
      <c r="E24" s="12" t="s">
        <v>20</v>
      </c>
      <c r="F24" s="12" t="s">
        <v>20</v>
      </c>
      <c r="G24" s="12" t="s">
        <v>20</v>
      </c>
      <c r="H24" s="12" t="s">
        <v>20</v>
      </c>
      <c r="I24" s="12" t="s">
        <v>20</v>
      </c>
      <c r="J24" s="12" t="s">
        <v>20</v>
      </c>
      <c r="K24" s="19">
        <f>=SUM(C24:J24)</f>
      </c>
      <c r="M24" s="12" t="s">
        <v>20</v>
      </c>
      <c r="N24" s="12" t="s">
        <v>20</v>
      </c>
      <c r="O24" s="12" t="s">
        <v>20</v>
      </c>
      <c r="P24" s="12" t="s">
        <v>20</v>
      </c>
      <c r="Q24" s="12" t="s">
        <v>20</v>
      </c>
      <c r="R24" s="12" t="s">
        <v>20</v>
      </c>
      <c r="S24" s="12" t="s">
        <v>20</v>
      </c>
      <c r="T24" s="12" t="s">
        <v>20</v>
      </c>
      <c r="U24" s="19">
        <f>=SUM(M24:T24)</f>
      </c>
      <c r="W24" s="12" t="s">
        <v>20</v>
      </c>
      <c r="X24" s="12" t="s">
        <v>20</v>
      </c>
      <c r="Y24" s="12" t="s">
        <v>20</v>
      </c>
      <c r="Z24" s="12" t="s">
        <v>20</v>
      </c>
      <c r="AA24" s="12" t="s">
        <v>20</v>
      </c>
      <c r="AB24" s="12" t="s">
        <v>20</v>
      </c>
      <c r="AC24" s="12" t="s">
        <v>20</v>
      </c>
      <c r="AD24" s="12" t="s">
        <v>20</v>
      </c>
      <c r="AE24" s="19">
        <f>(U24/K24)*100</f>
      </c>
    </row>
    <row r="25">
      <c r="A25" s="43" t="s">
        <v>73</v>
      </c>
      <c r="B25" s="12" t="s">
        <v>74</v>
      </c>
      <c r="C25" s="12" t="s">
        <v>20</v>
      </c>
      <c r="D25" s="12" t="s">
        <v>20</v>
      </c>
      <c r="E25" s="12" t="s">
        <v>20</v>
      </c>
      <c r="F25" s="12" t="s">
        <v>20</v>
      </c>
      <c r="G25" s="12" t="s">
        <v>20</v>
      </c>
      <c r="H25" s="12" t="s">
        <v>20</v>
      </c>
      <c r="I25" s="12" t="s">
        <v>20</v>
      </c>
      <c r="J25" s="12" t="s">
        <v>20</v>
      </c>
      <c r="K25" s="19">
        <f>=SUM(C25:J25)</f>
      </c>
      <c r="M25" s="12" t="s">
        <v>20</v>
      </c>
      <c r="N25" s="12" t="s">
        <v>20</v>
      </c>
      <c r="O25" s="12" t="s">
        <v>20</v>
      </c>
      <c r="P25" s="12" t="s">
        <v>20</v>
      </c>
      <c r="Q25" s="12" t="s">
        <v>20</v>
      </c>
      <c r="R25" s="12" t="s">
        <v>20</v>
      </c>
      <c r="S25" s="12" t="s">
        <v>20</v>
      </c>
      <c r="T25" s="12" t="s">
        <v>20</v>
      </c>
      <c r="U25" s="19">
        <f>=SUM(M25:T25)</f>
      </c>
      <c r="W25" s="12" t="s">
        <v>20</v>
      </c>
      <c r="X25" s="12" t="s">
        <v>20</v>
      </c>
      <c r="Y25" s="12" t="s">
        <v>20</v>
      </c>
      <c r="Z25" s="12" t="s">
        <v>20</v>
      </c>
      <c r="AA25" s="12" t="s">
        <v>20</v>
      </c>
      <c r="AB25" s="12" t="s">
        <v>20</v>
      </c>
      <c r="AC25" s="12" t="s">
        <v>20</v>
      </c>
      <c r="AD25" s="12" t="s">
        <v>20</v>
      </c>
      <c r="AE25" s="19">
        <f>(U25/K25)*100</f>
      </c>
    </row>
    <row r="26">
      <c r="A26" s="43" t="s">
        <v>75</v>
      </c>
      <c r="B26" s="12" t="s">
        <v>76</v>
      </c>
      <c r="C26" s="12" t="s">
        <v>20</v>
      </c>
      <c r="D26" s="12" t="s">
        <v>20</v>
      </c>
      <c r="E26" s="12" t="s">
        <v>20</v>
      </c>
      <c r="F26" s="12" t="s">
        <v>20</v>
      </c>
      <c r="G26" s="12" t="s">
        <v>20</v>
      </c>
      <c r="H26" s="12" t="s">
        <v>20</v>
      </c>
      <c r="I26" s="13">
        <v>1</v>
      </c>
      <c r="J26" s="12" t="s">
        <v>20</v>
      </c>
      <c r="K26" s="19">
        <f>=SUM(C26:J26)</f>
      </c>
      <c r="M26" s="12" t="s">
        <v>20</v>
      </c>
      <c r="N26" s="12" t="s">
        <v>20</v>
      </c>
      <c r="O26" s="12" t="s">
        <v>20</v>
      </c>
      <c r="P26" s="12" t="s">
        <v>20</v>
      </c>
      <c r="Q26" s="12" t="s">
        <v>20</v>
      </c>
      <c r="R26" s="12" t="s">
        <v>20</v>
      </c>
      <c r="S26" s="12" t="s">
        <v>20</v>
      </c>
      <c r="T26" s="12" t="s">
        <v>20</v>
      </c>
      <c r="U26" s="19">
        <f>=SUM(M26:T26)</f>
      </c>
      <c r="W26" s="12" t="s">
        <v>20</v>
      </c>
      <c r="X26" s="12" t="s">
        <v>20</v>
      </c>
      <c r="Y26" s="12" t="s">
        <v>20</v>
      </c>
      <c r="Z26" s="12" t="s">
        <v>20</v>
      </c>
      <c r="AA26" s="12" t="s">
        <v>20</v>
      </c>
      <c r="AB26" s="12" t="s">
        <v>20</v>
      </c>
      <c r="AC26" s="12" t="s">
        <v>20</v>
      </c>
      <c r="AD26" s="12" t="s">
        <v>20</v>
      </c>
      <c r="AE26" s="19">
        <f>(U26/K26)*100</f>
      </c>
    </row>
    <row r="27">
      <c r="A27" s="43" t="s">
        <v>77</v>
      </c>
      <c r="B27" s="12" t="s">
        <v>78</v>
      </c>
      <c r="C27" s="12" t="s">
        <v>20</v>
      </c>
      <c r="D27" s="12" t="s">
        <v>20</v>
      </c>
      <c r="E27" s="12" t="s">
        <v>20</v>
      </c>
      <c r="F27" s="12" t="s">
        <v>20</v>
      </c>
      <c r="G27" s="12" t="s">
        <v>20</v>
      </c>
      <c r="H27" s="12" t="s">
        <v>20</v>
      </c>
      <c r="I27" s="12" t="s">
        <v>20</v>
      </c>
      <c r="J27" s="12" t="s">
        <v>20</v>
      </c>
      <c r="K27" s="19">
        <f>=SUM(C27:J27)</f>
      </c>
      <c r="M27" s="12" t="s">
        <v>20</v>
      </c>
      <c r="N27" s="12" t="s">
        <v>20</v>
      </c>
      <c r="O27" s="12" t="s">
        <v>20</v>
      </c>
      <c r="P27" s="12" t="s">
        <v>20</v>
      </c>
      <c r="Q27" s="12" t="s">
        <v>20</v>
      </c>
      <c r="R27" s="12" t="s">
        <v>20</v>
      </c>
      <c r="S27" s="12" t="s">
        <v>20</v>
      </c>
      <c r="T27" s="12" t="s">
        <v>20</v>
      </c>
      <c r="U27" s="19">
        <f>=SUM(M27:T27)</f>
      </c>
      <c r="W27" s="12" t="s">
        <v>20</v>
      </c>
      <c r="X27" s="12" t="s">
        <v>20</v>
      </c>
      <c r="Y27" s="12" t="s">
        <v>20</v>
      </c>
      <c r="Z27" s="12" t="s">
        <v>20</v>
      </c>
      <c r="AA27" s="12" t="s">
        <v>20</v>
      </c>
      <c r="AB27" s="12" t="s">
        <v>20</v>
      </c>
      <c r="AC27" s="12" t="s">
        <v>20</v>
      </c>
      <c r="AD27" s="12" t="s">
        <v>20</v>
      </c>
      <c r="AE27" s="19">
        <f>(U27/K27)*100</f>
      </c>
    </row>
    <row r="28">
      <c r="A28" s="43" t="s">
        <v>79</v>
      </c>
      <c r="B28" s="12" t="s">
        <v>80</v>
      </c>
      <c r="C28" s="12" t="s">
        <v>20</v>
      </c>
      <c r="D28" s="12" t="s">
        <v>20</v>
      </c>
      <c r="E28" s="12" t="s">
        <v>20</v>
      </c>
      <c r="F28" s="12" t="s">
        <v>20</v>
      </c>
      <c r="G28" s="12" t="s">
        <v>20</v>
      </c>
      <c r="H28" s="13">
        <v>1</v>
      </c>
      <c r="I28" s="12" t="s">
        <v>20</v>
      </c>
      <c r="J28" s="12" t="s">
        <v>20</v>
      </c>
      <c r="K28" s="19">
        <f>=SUM(C28:J28)</f>
      </c>
      <c r="M28" s="12" t="s">
        <v>20</v>
      </c>
      <c r="N28" s="12" t="s">
        <v>20</v>
      </c>
      <c r="O28" s="12" t="s">
        <v>20</v>
      </c>
      <c r="P28" s="12" t="s">
        <v>20</v>
      </c>
      <c r="Q28" s="12" t="s">
        <v>20</v>
      </c>
      <c r="R28" s="12" t="s">
        <v>20</v>
      </c>
      <c r="S28" s="12" t="s">
        <v>20</v>
      </c>
      <c r="T28" s="12" t="s">
        <v>20</v>
      </c>
      <c r="U28" s="19">
        <f>=SUM(M28:T28)</f>
      </c>
      <c r="W28" s="12" t="s">
        <v>20</v>
      </c>
      <c r="X28" s="12" t="s">
        <v>20</v>
      </c>
      <c r="Y28" s="12" t="s">
        <v>20</v>
      </c>
      <c r="Z28" s="12" t="s">
        <v>20</v>
      </c>
      <c r="AA28" s="12" t="s">
        <v>20</v>
      </c>
      <c r="AB28" s="12" t="s">
        <v>20</v>
      </c>
      <c r="AC28" s="12" t="s">
        <v>20</v>
      </c>
      <c r="AD28" s="12" t="s">
        <v>20</v>
      </c>
      <c r="AE28" s="19">
        <f>(U28/K28)*100</f>
      </c>
    </row>
    <row r="29">
      <c r="A29" s="43" t="s">
        <v>81</v>
      </c>
      <c r="B29" s="12" t="s">
        <v>82</v>
      </c>
      <c r="C29" s="13">
        <v>1</v>
      </c>
      <c r="D29" s="13">
        <v>1</v>
      </c>
      <c r="E29" s="12" t="s">
        <v>20</v>
      </c>
      <c r="F29" s="13">
        <v>1</v>
      </c>
      <c r="G29" s="12" t="s">
        <v>20</v>
      </c>
      <c r="H29" s="13">
        <v>1</v>
      </c>
      <c r="I29" s="12" t="s">
        <v>20</v>
      </c>
      <c r="J29" s="12" t="s">
        <v>20</v>
      </c>
      <c r="K29" s="19">
        <f>=SUM(C29:J29)</f>
      </c>
      <c r="M29" s="12" t="s">
        <v>20</v>
      </c>
      <c r="N29" s="12" t="s">
        <v>20</v>
      </c>
      <c r="O29" s="12" t="s">
        <v>20</v>
      </c>
      <c r="P29" s="12" t="s">
        <v>20</v>
      </c>
      <c r="Q29" s="12" t="s">
        <v>20</v>
      </c>
      <c r="R29" s="12" t="s">
        <v>20</v>
      </c>
      <c r="S29" s="12" t="s">
        <v>20</v>
      </c>
      <c r="T29" s="12" t="s">
        <v>20</v>
      </c>
      <c r="U29" s="19">
        <f>=SUM(M29:T29)</f>
      </c>
      <c r="W29" s="12" t="s">
        <v>20</v>
      </c>
      <c r="X29" s="12" t="s">
        <v>20</v>
      </c>
      <c r="Y29" s="12" t="s">
        <v>20</v>
      </c>
      <c r="Z29" s="12" t="s">
        <v>20</v>
      </c>
      <c r="AA29" s="12" t="s">
        <v>20</v>
      </c>
      <c r="AB29" s="12" t="s">
        <v>20</v>
      </c>
      <c r="AC29" s="12" t="s">
        <v>20</v>
      </c>
      <c r="AD29" s="12" t="s">
        <v>20</v>
      </c>
      <c r="AE29" s="19">
        <f>(U29/K29)*100</f>
      </c>
    </row>
    <row r="30">
      <c r="A30" s="43" t="s">
        <v>83</v>
      </c>
      <c r="B30" s="12" t="s">
        <v>84</v>
      </c>
      <c r="C30" s="12" t="s">
        <v>20</v>
      </c>
      <c r="D30" s="12" t="s">
        <v>20</v>
      </c>
      <c r="E30" s="12" t="s">
        <v>20</v>
      </c>
      <c r="F30" s="12" t="s">
        <v>20</v>
      </c>
      <c r="G30" s="12" t="s">
        <v>20</v>
      </c>
      <c r="H30" s="12" t="s">
        <v>20</v>
      </c>
      <c r="I30" s="12" t="s">
        <v>20</v>
      </c>
      <c r="J30" s="12" t="s">
        <v>20</v>
      </c>
      <c r="K30" s="19">
        <f>=SUM(C30:J30)</f>
      </c>
      <c r="M30" s="12" t="s">
        <v>20</v>
      </c>
      <c r="N30" s="12" t="s">
        <v>20</v>
      </c>
      <c r="O30" s="12" t="s">
        <v>20</v>
      </c>
      <c r="P30" s="12" t="s">
        <v>20</v>
      </c>
      <c r="Q30" s="12" t="s">
        <v>20</v>
      </c>
      <c r="R30" s="12" t="s">
        <v>20</v>
      </c>
      <c r="S30" s="12" t="s">
        <v>20</v>
      </c>
      <c r="T30" s="12" t="s">
        <v>20</v>
      </c>
      <c r="U30" s="19">
        <f>=SUM(M30:T30)</f>
      </c>
      <c r="W30" s="12" t="s">
        <v>20</v>
      </c>
      <c r="X30" s="12" t="s">
        <v>20</v>
      </c>
      <c r="Y30" s="12" t="s">
        <v>20</v>
      </c>
      <c r="Z30" s="12" t="s">
        <v>20</v>
      </c>
      <c r="AA30" s="12" t="s">
        <v>20</v>
      </c>
      <c r="AB30" s="12" t="s">
        <v>20</v>
      </c>
      <c r="AC30" s="12" t="s">
        <v>20</v>
      </c>
      <c r="AD30" s="12" t="s">
        <v>20</v>
      </c>
      <c r="AE30" s="19">
        <f>(U30/K30)*100</f>
      </c>
    </row>
    <row r="31">
      <c r="A31" s="43" t="s">
        <v>85</v>
      </c>
      <c r="B31" s="12" t="s">
        <v>86</v>
      </c>
      <c r="C31" s="12" t="s">
        <v>20</v>
      </c>
      <c r="D31" s="12" t="s">
        <v>20</v>
      </c>
      <c r="E31" s="12" t="s">
        <v>20</v>
      </c>
      <c r="F31" s="12" t="s">
        <v>20</v>
      </c>
      <c r="G31" s="12" t="s">
        <v>20</v>
      </c>
      <c r="H31" s="12" t="s">
        <v>20</v>
      </c>
      <c r="I31" s="12" t="s">
        <v>20</v>
      </c>
      <c r="J31" s="12" t="s">
        <v>20</v>
      </c>
      <c r="K31" s="19">
        <f>=SUM(C31:J31)</f>
      </c>
      <c r="M31" s="12" t="s">
        <v>20</v>
      </c>
      <c r="N31" s="12" t="s">
        <v>20</v>
      </c>
      <c r="O31" s="12" t="s">
        <v>20</v>
      </c>
      <c r="P31" s="12" t="s">
        <v>20</v>
      </c>
      <c r="Q31" s="12" t="s">
        <v>20</v>
      </c>
      <c r="R31" s="12" t="s">
        <v>20</v>
      </c>
      <c r="S31" s="12" t="s">
        <v>20</v>
      </c>
      <c r="T31" s="12" t="s">
        <v>20</v>
      </c>
      <c r="U31" s="19">
        <f>=SUM(M31:T31)</f>
      </c>
      <c r="W31" s="12" t="s">
        <v>20</v>
      </c>
      <c r="X31" s="12" t="s">
        <v>20</v>
      </c>
      <c r="Y31" s="12" t="s">
        <v>20</v>
      </c>
      <c r="Z31" s="12" t="s">
        <v>20</v>
      </c>
      <c r="AA31" s="12" t="s">
        <v>20</v>
      </c>
      <c r="AB31" s="12" t="s">
        <v>20</v>
      </c>
      <c r="AC31" s="12" t="s">
        <v>20</v>
      </c>
      <c r="AD31" s="12" t="s">
        <v>20</v>
      </c>
      <c r="AE31" s="19">
        <f>(U31/K31)*100</f>
      </c>
    </row>
    <row r="32">
      <c r="A32" s="43" t="s">
        <v>87</v>
      </c>
      <c r="B32" s="12" t="s">
        <v>88</v>
      </c>
      <c r="C32" s="12" t="s">
        <v>20</v>
      </c>
      <c r="D32" s="12" t="s">
        <v>20</v>
      </c>
      <c r="E32" s="12" t="s">
        <v>20</v>
      </c>
      <c r="F32" s="12" t="s">
        <v>20</v>
      </c>
      <c r="G32" s="12" t="s">
        <v>20</v>
      </c>
      <c r="H32" s="13">
        <v>1</v>
      </c>
      <c r="I32" s="12" t="s">
        <v>20</v>
      </c>
      <c r="J32" s="12" t="s">
        <v>20</v>
      </c>
      <c r="K32" s="19">
        <f>=SUM(C32:J32)</f>
      </c>
      <c r="M32" s="12" t="s">
        <v>20</v>
      </c>
      <c r="N32" s="12" t="s">
        <v>20</v>
      </c>
      <c r="O32" s="12" t="s">
        <v>20</v>
      </c>
      <c r="P32" s="12" t="s">
        <v>20</v>
      </c>
      <c r="Q32" s="12" t="s">
        <v>20</v>
      </c>
      <c r="R32" s="12" t="s">
        <v>20</v>
      </c>
      <c r="S32" s="12" t="s">
        <v>20</v>
      </c>
      <c r="T32" s="12" t="s">
        <v>20</v>
      </c>
      <c r="U32" s="19">
        <f>=SUM(M32:T32)</f>
      </c>
      <c r="W32" s="12" t="s">
        <v>20</v>
      </c>
      <c r="X32" s="12" t="s">
        <v>20</v>
      </c>
      <c r="Y32" s="12" t="s">
        <v>20</v>
      </c>
      <c r="Z32" s="12" t="s">
        <v>20</v>
      </c>
      <c r="AA32" s="12" t="s">
        <v>20</v>
      </c>
      <c r="AB32" s="12" t="s">
        <v>20</v>
      </c>
      <c r="AC32" s="12" t="s">
        <v>20</v>
      </c>
      <c r="AD32" s="12" t="s">
        <v>20</v>
      </c>
      <c r="AE32" s="19">
        <f>(U32/K32)*100</f>
      </c>
    </row>
    <row r="33">
      <c r="A33" s="43" t="s">
        <v>89</v>
      </c>
      <c r="B33" s="12" t="s">
        <v>90</v>
      </c>
      <c r="C33" s="12" t="s">
        <v>20</v>
      </c>
      <c r="D33" s="13">
        <v>1</v>
      </c>
      <c r="E33" s="12" t="s">
        <v>20</v>
      </c>
      <c r="F33" s="13">
        <v>1</v>
      </c>
      <c r="G33" s="13">
        <v>6</v>
      </c>
      <c r="H33" s="13">
        <v>2</v>
      </c>
      <c r="I33" s="13">
        <v>4</v>
      </c>
      <c r="J33" s="12" t="s">
        <v>20</v>
      </c>
      <c r="K33" s="19">
        <f>=SUM(C33:J33)</f>
      </c>
      <c r="M33" s="12" t="s">
        <v>20</v>
      </c>
      <c r="N33" s="12" t="s">
        <v>20</v>
      </c>
      <c r="O33" s="12" t="s">
        <v>20</v>
      </c>
      <c r="P33" s="12" t="s">
        <v>20</v>
      </c>
      <c r="Q33" s="12" t="s">
        <v>20</v>
      </c>
      <c r="R33" s="12" t="s">
        <v>20</v>
      </c>
      <c r="S33" s="12" t="s">
        <v>20</v>
      </c>
      <c r="T33" s="12" t="s">
        <v>20</v>
      </c>
      <c r="U33" s="19">
        <f>=SUM(M33:T33)</f>
      </c>
      <c r="W33" s="12" t="s">
        <v>20</v>
      </c>
      <c r="X33" s="12" t="s">
        <v>20</v>
      </c>
      <c r="Y33" s="12" t="s">
        <v>20</v>
      </c>
      <c r="Z33" s="12" t="s">
        <v>20</v>
      </c>
      <c r="AA33" s="12" t="s">
        <v>20</v>
      </c>
      <c r="AB33" s="12" t="s">
        <v>20</v>
      </c>
      <c r="AC33" s="12" t="s">
        <v>20</v>
      </c>
      <c r="AD33" s="12" t="s">
        <v>20</v>
      </c>
      <c r="AE33" s="19">
        <f>(U33/K33)*100</f>
      </c>
    </row>
    <row r="34">
      <c r="A34" s="43" t="s">
        <v>91</v>
      </c>
      <c r="B34" s="12" t="s">
        <v>92</v>
      </c>
      <c r="C34" s="12" t="s">
        <v>20</v>
      </c>
      <c r="D34" s="12" t="s">
        <v>20</v>
      </c>
      <c r="E34" s="12" t="s">
        <v>20</v>
      </c>
      <c r="F34" s="12" t="s">
        <v>20</v>
      </c>
      <c r="G34" s="12" t="s">
        <v>20</v>
      </c>
      <c r="H34" s="12" t="s">
        <v>20</v>
      </c>
      <c r="I34" s="12" t="s">
        <v>20</v>
      </c>
      <c r="J34" s="12" t="s">
        <v>20</v>
      </c>
      <c r="K34" s="19">
        <f>=SUM(C34:J34)</f>
      </c>
      <c r="M34" s="12" t="s">
        <v>20</v>
      </c>
      <c r="N34" s="12" t="s">
        <v>20</v>
      </c>
      <c r="O34" s="12" t="s">
        <v>20</v>
      </c>
      <c r="P34" s="12" t="s">
        <v>20</v>
      </c>
      <c r="Q34" s="12" t="s">
        <v>20</v>
      </c>
      <c r="R34" s="12" t="s">
        <v>20</v>
      </c>
      <c r="S34" s="12" t="s">
        <v>20</v>
      </c>
      <c r="T34" s="12" t="s">
        <v>20</v>
      </c>
      <c r="U34" s="19">
        <f>=SUM(M34:T34)</f>
      </c>
      <c r="W34" s="12" t="s">
        <v>20</v>
      </c>
      <c r="X34" s="12" t="s">
        <v>20</v>
      </c>
      <c r="Y34" s="12" t="s">
        <v>20</v>
      </c>
      <c r="Z34" s="12" t="s">
        <v>20</v>
      </c>
      <c r="AA34" s="12" t="s">
        <v>20</v>
      </c>
      <c r="AB34" s="12" t="s">
        <v>20</v>
      </c>
      <c r="AC34" s="12" t="s">
        <v>20</v>
      </c>
      <c r="AD34" s="12" t="s">
        <v>20</v>
      </c>
      <c r="AE34" s="19">
        <f>(U34/K34)*100</f>
      </c>
    </row>
    <row r="35">
      <c r="A35" s="43" t="s">
        <v>93</v>
      </c>
      <c r="B35" s="12" t="s">
        <v>94</v>
      </c>
      <c r="C35" s="12" t="s">
        <v>20</v>
      </c>
      <c r="D35" s="12" t="s">
        <v>20</v>
      </c>
      <c r="E35" s="12" t="s">
        <v>20</v>
      </c>
      <c r="F35" s="12" t="s">
        <v>20</v>
      </c>
      <c r="G35" s="12" t="s">
        <v>20</v>
      </c>
      <c r="H35" s="12" t="s">
        <v>20</v>
      </c>
      <c r="I35" s="12" t="s">
        <v>20</v>
      </c>
      <c r="J35" s="12" t="s">
        <v>20</v>
      </c>
      <c r="K35" s="19">
        <f>=SUM(C35:J35)</f>
      </c>
      <c r="M35" s="12" t="s">
        <v>20</v>
      </c>
      <c r="N35" s="12" t="s">
        <v>20</v>
      </c>
      <c r="O35" s="12" t="s">
        <v>20</v>
      </c>
      <c r="P35" s="12" t="s">
        <v>20</v>
      </c>
      <c r="Q35" s="12" t="s">
        <v>20</v>
      </c>
      <c r="R35" s="12" t="s">
        <v>20</v>
      </c>
      <c r="S35" s="12" t="s">
        <v>20</v>
      </c>
      <c r="T35" s="12" t="s">
        <v>20</v>
      </c>
      <c r="U35" s="19">
        <f>=SUM(M35:T35)</f>
      </c>
      <c r="W35" s="12" t="s">
        <v>20</v>
      </c>
      <c r="X35" s="12" t="s">
        <v>20</v>
      </c>
      <c r="Y35" s="12" t="s">
        <v>20</v>
      </c>
      <c r="Z35" s="12" t="s">
        <v>20</v>
      </c>
      <c r="AA35" s="12" t="s">
        <v>20</v>
      </c>
      <c r="AB35" s="12" t="s">
        <v>20</v>
      </c>
      <c r="AC35" s="12" t="s">
        <v>20</v>
      </c>
      <c r="AD35" s="12" t="s">
        <v>20</v>
      </c>
      <c r="AE35" s="19">
        <f>(U35/K35)*100</f>
      </c>
    </row>
    <row r="36">
      <c r="A36" s="43" t="s">
        <v>95</v>
      </c>
      <c r="B36" s="12" t="s">
        <v>96</v>
      </c>
      <c r="C36" s="13">
        <v>7</v>
      </c>
      <c r="D36" s="13">
        <v>6</v>
      </c>
      <c r="E36" s="13">
        <v>6</v>
      </c>
      <c r="F36" s="13">
        <v>6</v>
      </c>
      <c r="G36" s="13">
        <v>7</v>
      </c>
      <c r="H36" s="13">
        <v>5</v>
      </c>
      <c r="I36" s="13">
        <v>5</v>
      </c>
      <c r="J36" s="13">
        <v>1</v>
      </c>
      <c r="K36" s="19">
        <f>=SUM(C36:J36)</f>
      </c>
      <c r="M36" s="13">
        <v>2</v>
      </c>
      <c r="N36" s="13">
        <v>1</v>
      </c>
      <c r="O36" s="12" t="s">
        <v>20</v>
      </c>
      <c r="P36" s="13">
        <v>2</v>
      </c>
      <c r="Q36" s="13">
        <v>2</v>
      </c>
      <c r="R36" s="12" t="s">
        <v>20</v>
      </c>
      <c r="S36" s="12" t="s">
        <v>20</v>
      </c>
      <c r="T36" s="12" t="s">
        <v>20</v>
      </c>
      <c r="U36" s="19">
        <f>=SUM(M36:T36)</f>
      </c>
      <c r="W36" s="12">
        <v>29</v>
      </c>
      <c r="X36" s="12">
        <v>17</v>
      </c>
      <c r="Y36" s="12" t="s">
        <v>20</v>
      </c>
      <c r="Z36" s="12">
        <v>33</v>
      </c>
      <c r="AA36" s="12">
        <v>29</v>
      </c>
      <c r="AB36" s="12" t="s">
        <v>20</v>
      </c>
      <c r="AC36" s="12" t="s">
        <v>20</v>
      </c>
      <c r="AD36" s="12" t="s">
        <v>20</v>
      </c>
      <c r="AE36" s="19">
        <f>(U36/K36)*100</f>
      </c>
    </row>
    <row r="37">
      <c r="A37" s="43" t="s">
        <v>97</v>
      </c>
      <c r="B37" s="12" t="s">
        <v>98</v>
      </c>
      <c r="C37" s="12" t="s">
        <v>20</v>
      </c>
      <c r="D37" s="12" t="s">
        <v>20</v>
      </c>
      <c r="E37" s="12" t="s">
        <v>20</v>
      </c>
      <c r="F37" s="12" t="s">
        <v>20</v>
      </c>
      <c r="G37" s="12" t="s">
        <v>20</v>
      </c>
      <c r="H37" s="12" t="s">
        <v>20</v>
      </c>
      <c r="I37" s="12" t="s">
        <v>20</v>
      </c>
      <c r="J37" s="12" t="s">
        <v>20</v>
      </c>
      <c r="K37" s="19">
        <f>=SUM(C37:J37)</f>
      </c>
      <c r="M37" s="12" t="s">
        <v>20</v>
      </c>
      <c r="N37" s="12" t="s">
        <v>20</v>
      </c>
      <c r="O37" s="12" t="s">
        <v>20</v>
      </c>
      <c r="P37" s="12" t="s">
        <v>20</v>
      </c>
      <c r="Q37" s="12" t="s">
        <v>20</v>
      </c>
      <c r="R37" s="12" t="s">
        <v>20</v>
      </c>
      <c r="S37" s="12" t="s">
        <v>20</v>
      </c>
      <c r="T37" s="12" t="s">
        <v>20</v>
      </c>
      <c r="U37" s="19">
        <f>=SUM(M37:T37)</f>
      </c>
      <c r="W37" s="12" t="s">
        <v>20</v>
      </c>
      <c r="X37" s="12" t="s">
        <v>20</v>
      </c>
      <c r="Y37" s="12" t="s">
        <v>20</v>
      </c>
      <c r="Z37" s="12" t="s">
        <v>20</v>
      </c>
      <c r="AA37" s="12" t="s">
        <v>20</v>
      </c>
      <c r="AB37" s="12" t="s">
        <v>20</v>
      </c>
      <c r="AC37" s="12" t="s">
        <v>20</v>
      </c>
      <c r="AD37" s="12" t="s">
        <v>20</v>
      </c>
      <c r="AE37" s="19">
        <f>(U37/K37)*100</f>
      </c>
    </row>
    <row r="38">
      <c r="A38" s="43" t="s">
        <v>99</v>
      </c>
      <c r="B38" s="12" t="s">
        <v>100</v>
      </c>
      <c r="C38" s="12" t="s">
        <v>20</v>
      </c>
      <c r="D38" s="12" t="s">
        <v>20</v>
      </c>
      <c r="E38" s="12" t="s">
        <v>20</v>
      </c>
      <c r="F38" s="12" t="s">
        <v>20</v>
      </c>
      <c r="G38" s="12" t="s">
        <v>20</v>
      </c>
      <c r="H38" s="12" t="s">
        <v>20</v>
      </c>
      <c r="I38" s="12" t="s">
        <v>20</v>
      </c>
      <c r="J38" s="12" t="s">
        <v>20</v>
      </c>
      <c r="K38" s="19">
        <f>=SUM(C38:J38)</f>
      </c>
      <c r="M38" s="12" t="s">
        <v>20</v>
      </c>
      <c r="N38" s="12" t="s">
        <v>20</v>
      </c>
      <c r="O38" s="12" t="s">
        <v>20</v>
      </c>
      <c r="P38" s="12" t="s">
        <v>20</v>
      </c>
      <c r="Q38" s="12" t="s">
        <v>20</v>
      </c>
      <c r="R38" s="12" t="s">
        <v>20</v>
      </c>
      <c r="S38" s="12" t="s">
        <v>20</v>
      </c>
      <c r="T38" s="12" t="s">
        <v>20</v>
      </c>
      <c r="U38" s="19">
        <f>=SUM(M38:T38)</f>
      </c>
      <c r="W38" s="12" t="s">
        <v>20</v>
      </c>
      <c r="X38" s="12" t="s">
        <v>20</v>
      </c>
      <c r="Y38" s="12" t="s">
        <v>20</v>
      </c>
      <c r="Z38" s="12" t="s">
        <v>20</v>
      </c>
      <c r="AA38" s="12" t="s">
        <v>20</v>
      </c>
      <c r="AB38" s="12" t="s">
        <v>20</v>
      </c>
      <c r="AC38" s="12" t="s">
        <v>20</v>
      </c>
      <c r="AD38" s="12" t="s">
        <v>20</v>
      </c>
      <c r="AE38" s="19">
        <f>(U38/K38)*100</f>
      </c>
    </row>
    <row r="39">
      <c r="A39" s="43" t="s">
        <v>101</v>
      </c>
      <c r="B39" s="12" t="s">
        <v>102</v>
      </c>
      <c r="C39" s="13">
        <v>3</v>
      </c>
      <c r="D39" s="13">
        <v>9</v>
      </c>
      <c r="E39" s="13">
        <v>9</v>
      </c>
      <c r="F39" s="13">
        <v>15</v>
      </c>
      <c r="G39" s="13">
        <v>9</v>
      </c>
      <c r="H39" s="13">
        <v>10</v>
      </c>
      <c r="I39" s="13">
        <v>6</v>
      </c>
      <c r="J39" s="13">
        <v>1</v>
      </c>
      <c r="K39" s="19">
        <f>=SUM(C39:J39)</f>
      </c>
      <c r="M39" s="12" t="s">
        <v>20</v>
      </c>
      <c r="N39" s="12" t="s">
        <v>20</v>
      </c>
      <c r="O39" s="12" t="s">
        <v>20</v>
      </c>
      <c r="P39" s="12" t="s">
        <v>20</v>
      </c>
      <c r="Q39" s="12" t="s">
        <v>20</v>
      </c>
      <c r="R39" s="12" t="s">
        <v>20</v>
      </c>
      <c r="S39" s="12" t="s">
        <v>20</v>
      </c>
      <c r="T39" s="12" t="s">
        <v>20</v>
      </c>
      <c r="U39" s="19">
        <f>=SUM(M39:T39)</f>
      </c>
      <c r="W39" s="12" t="s">
        <v>20</v>
      </c>
      <c r="X39" s="12" t="s">
        <v>20</v>
      </c>
      <c r="Y39" s="12" t="s">
        <v>20</v>
      </c>
      <c r="Z39" s="12" t="s">
        <v>20</v>
      </c>
      <c r="AA39" s="12" t="s">
        <v>20</v>
      </c>
      <c r="AB39" s="12" t="s">
        <v>20</v>
      </c>
      <c r="AC39" s="12" t="s">
        <v>20</v>
      </c>
      <c r="AD39" s="12" t="s">
        <v>20</v>
      </c>
      <c r="AE39" s="19">
        <f>(U39/K39)*100</f>
      </c>
    </row>
    <row r="40">
      <c r="A40" s="43" t="s">
        <v>103</v>
      </c>
      <c r="B40" s="12" t="s">
        <v>104</v>
      </c>
      <c r="C40" s="12" t="s">
        <v>20</v>
      </c>
      <c r="D40" s="12" t="s">
        <v>20</v>
      </c>
      <c r="E40" s="12" t="s">
        <v>20</v>
      </c>
      <c r="F40" s="12" t="s">
        <v>20</v>
      </c>
      <c r="G40" s="12" t="s">
        <v>20</v>
      </c>
      <c r="H40" s="12" t="s">
        <v>20</v>
      </c>
      <c r="I40" s="12" t="s">
        <v>20</v>
      </c>
      <c r="J40" s="12" t="s">
        <v>20</v>
      </c>
      <c r="K40" s="19">
        <f>=SUM(C40:J40)</f>
      </c>
      <c r="M40" s="12" t="s">
        <v>20</v>
      </c>
      <c r="N40" s="12" t="s">
        <v>20</v>
      </c>
      <c r="O40" s="12" t="s">
        <v>20</v>
      </c>
      <c r="P40" s="12" t="s">
        <v>20</v>
      </c>
      <c r="Q40" s="12" t="s">
        <v>20</v>
      </c>
      <c r="R40" s="12" t="s">
        <v>20</v>
      </c>
      <c r="S40" s="12" t="s">
        <v>20</v>
      </c>
      <c r="T40" s="12" t="s">
        <v>20</v>
      </c>
      <c r="U40" s="19">
        <f>=SUM(M40:T40)</f>
      </c>
      <c r="W40" s="12" t="s">
        <v>20</v>
      </c>
      <c r="X40" s="12" t="s">
        <v>20</v>
      </c>
      <c r="Y40" s="12" t="s">
        <v>20</v>
      </c>
      <c r="Z40" s="12" t="s">
        <v>20</v>
      </c>
      <c r="AA40" s="12" t="s">
        <v>20</v>
      </c>
      <c r="AB40" s="12" t="s">
        <v>20</v>
      </c>
      <c r="AC40" s="12" t="s">
        <v>20</v>
      </c>
      <c r="AD40" s="12" t="s">
        <v>20</v>
      </c>
      <c r="AE40" s="19">
        <f>(U40/K40)*100</f>
      </c>
    </row>
    <row r="41">
      <c r="A41" s="43" t="s">
        <v>105</v>
      </c>
      <c r="B41" s="12" t="s">
        <v>106</v>
      </c>
      <c r="C41" s="13">
        <v>1</v>
      </c>
      <c r="D41" s="13">
        <v>1</v>
      </c>
      <c r="E41" s="13">
        <v>1</v>
      </c>
      <c r="F41" s="13">
        <v>1</v>
      </c>
      <c r="G41" s="13">
        <v>1</v>
      </c>
      <c r="H41" s="13">
        <v>1</v>
      </c>
      <c r="I41" s="12" t="s">
        <v>20</v>
      </c>
      <c r="J41" s="12" t="s">
        <v>20</v>
      </c>
      <c r="K41" s="19">
        <f>=SUM(C41:J41)</f>
      </c>
      <c r="M41" s="12" t="s">
        <v>20</v>
      </c>
      <c r="N41" s="12" t="s">
        <v>20</v>
      </c>
      <c r="O41" s="12" t="s">
        <v>20</v>
      </c>
      <c r="P41" s="12" t="s">
        <v>20</v>
      </c>
      <c r="Q41" s="12" t="s">
        <v>20</v>
      </c>
      <c r="R41" s="12" t="s">
        <v>20</v>
      </c>
      <c r="S41" s="12" t="s">
        <v>20</v>
      </c>
      <c r="T41" s="12" t="s">
        <v>20</v>
      </c>
      <c r="U41" s="19">
        <f>=SUM(M41:T41)</f>
      </c>
      <c r="W41" s="12" t="s">
        <v>20</v>
      </c>
      <c r="X41" s="12" t="s">
        <v>20</v>
      </c>
      <c r="Y41" s="12" t="s">
        <v>20</v>
      </c>
      <c r="Z41" s="12" t="s">
        <v>20</v>
      </c>
      <c r="AA41" s="12" t="s">
        <v>20</v>
      </c>
      <c r="AB41" s="12" t="s">
        <v>20</v>
      </c>
      <c r="AC41" s="12" t="s">
        <v>20</v>
      </c>
      <c r="AD41" s="12" t="s">
        <v>20</v>
      </c>
      <c r="AE41" s="19">
        <f>(U41/K41)*100</f>
      </c>
    </row>
    <row r="42">
      <c r="A42" s="43" t="s">
        <v>107</v>
      </c>
      <c r="B42" s="12" t="s">
        <v>108</v>
      </c>
      <c r="C42" s="12" t="s">
        <v>20</v>
      </c>
      <c r="D42" s="12" t="s">
        <v>20</v>
      </c>
      <c r="E42" s="12" t="s">
        <v>20</v>
      </c>
      <c r="F42" s="12" t="s">
        <v>20</v>
      </c>
      <c r="G42" s="12" t="s">
        <v>20</v>
      </c>
      <c r="H42" s="12" t="s">
        <v>20</v>
      </c>
      <c r="I42" s="12" t="s">
        <v>20</v>
      </c>
      <c r="J42" s="12" t="s">
        <v>20</v>
      </c>
      <c r="K42" s="19">
        <f>=SUM(C42:J42)</f>
      </c>
      <c r="M42" s="12" t="s">
        <v>20</v>
      </c>
      <c r="N42" s="12" t="s">
        <v>20</v>
      </c>
      <c r="O42" s="12" t="s">
        <v>20</v>
      </c>
      <c r="P42" s="12" t="s">
        <v>20</v>
      </c>
      <c r="Q42" s="12" t="s">
        <v>20</v>
      </c>
      <c r="R42" s="12" t="s">
        <v>20</v>
      </c>
      <c r="S42" s="12" t="s">
        <v>20</v>
      </c>
      <c r="T42" s="12" t="s">
        <v>20</v>
      </c>
      <c r="U42" s="19">
        <f>=SUM(M42:T42)</f>
      </c>
      <c r="W42" s="12" t="s">
        <v>20</v>
      </c>
      <c r="X42" s="12" t="s">
        <v>20</v>
      </c>
      <c r="Y42" s="12" t="s">
        <v>20</v>
      </c>
      <c r="Z42" s="12" t="s">
        <v>20</v>
      </c>
      <c r="AA42" s="12" t="s">
        <v>20</v>
      </c>
      <c r="AB42" s="12" t="s">
        <v>20</v>
      </c>
      <c r="AC42" s="12" t="s">
        <v>20</v>
      </c>
      <c r="AD42" s="12" t="s">
        <v>20</v>
      </c>
      <c r="AE42" s="19">
        <f>(U42/K42)*100</f>
      </c>
    </row>
    <row r="43">
      <c r="A43" s="43" t="s">
        <v>109</v>
      </c>
      <c r="B43" s="12" t="s">
        <v>110</v>
      </c>
      <c r="C43" s="13">
        <v>12</v>
      </c>
      <c r="D43" s="13">
        <v>11</v>
      </c>
      <c r="E43" s="13">
        <v>11</v>
      </c>
      <c r="F43" s="13">
        <v>10</v>
      </c>
      <c r="G43" s="13">
        <v>11</v>
      </c>
      <c r="H43" s="13">
        <v>8</v>
      </c>
      <c r="I43" s="13">
        <v>11</v>
      </c>
      <c r="J43" s="12" t="s">
        <v>20</v>
      </c>
      <c r="K43" s="19">
        <f>=SUM(C43:J43)</f>
      </c>
      <c r="M43" s="12" t="s">
        <v>20</v>
      </c>
      <c r="N43" s="12" t="s">
        <v>20</v>
      </c>
      <c r="O43" s="13">
        <v>1</v>
      </c>
      <c r="P43" s="12" t="s">
        <v>20</v>
      </c>
      <c r="Q43" s="12" t="s">
        <v>20</v>
      </c>
      <c r="R43" s="13">
        <v>1</v>
      </c>
      <c r="S43" s="12" t="s">
        <v>20</v>
      </c>
      <c r="T43" s="12" t="s">
        <v>20</v>
      </c>
      <c r="U43" s="19">
        <f>=SUM(M43:T43)</f>
      </c>
      <c r="W43" s="12" t="s">
        <v>20</v>
      </c>
      <c r="X43" s="12" t="s">
        <v>20</v>
      </c>
      <c r="Y43" s="12">
        <v>9</v>
      </c>
      <c r="Z43" s="12" t="s">
        <v>20</v>
      </c>
      <c r="AA43" s="12" t="s">
        <v>20</v>
      </c>
      <c r="AB43" s="12">
        <v>12</v>
      </c>
      <c r="AC43" s="12" t="s">
        <v>20</v>
      </c>
      <c r="AD43" s="12" t="s">
        <v>20</v>
      </c>
      <c r="AE43" s="19">
        <f>(U43/K43)*100</f>
      </c>
    </row>
    <row r="44">
      <c r="A44" s="43" t="s">
        <v>111</v>
      </c>
      <c r="B44" s="12" t="s">
        <v>112</v>
      </c>
      <c r="C44" s="13">
        <v>5</v>
      </c>
      <c r="D44" s="13">
        <v>3</v>
      </c>
      <c r="E44" s="13">
        <v>5</v>
      </c>
      <c r="F44" s="13">
        <v>9</v>
      </c>
      <c r="G44" s="13">
        <v>5</v>
      </c>
      <c r="H44" s="13">
        <v>6</v>
      </c>
      <c r="I44" s="13">
        <v>7</v>
      </c>
      <c r="J44" s="12" t="s">
        <v>20</v>
      </c>
      <c r="K44" s="19">
        <f>=SUM(C44:J44)</f>
      </c>
      <c r="M44" s="12" t="s">
        <v>20</v>
      </c>
      <c r="N44" s="12" t="s">
        <v>20</v>
      </c>
      <c r="O44" s="12" t="s">
        <v>20</v>
      </c>
      <c r="P44" s="12" t="s">
        <v>20</v>
      </c>
      <c r="Q44" s="12" t="s">
        <v>20</v>
      </c>
      <c r="R44" s="12" t="s">
        <v>20</v>
      </c>
      <c r="S44" s="12" t="s">
        <v>20</v>
      </c>
      <c r="T44" s="12" t="s">
        <v>20</v>
      </c>
      <c r="U44" s="19">
        <f>=SUM(M44:T44)</f>
      </c>
      <c r="W44" s="12" t="s">
        <v>20</v>
      </c>
      <c r="X44" s="12" t="s">
        <v>20</v>
      </c>
      <c r="Y44" s="12" t="s">
        <v>20</v>
      </c>
      <c r="Z44" s="12" t="s">
        <v>20</v>
      </c>
      <c r="AA44" s="12" t="s">
        <v>20</v>
      </c>
      <c r="AB44" s="12" t="s">
        <v>20</v>
      </c>
      <c r="AC44" s="12" t="s">
        <v>20</v>
      </c>
      <c r="AD44" s="12" t="s">
        <v>20</v>
      </c>
      <c r="AE44" s="19">
        <f>(U44/K44)*100</f>
      </c>
    </row>
    <row r="45">
      <c r="A45" s="43" t="s">
        <v>113</v>
      </c>
      <c r="B45" s="12" t="s">
        <v>114</v>
      </c>
      <c r="C45" s="13">
        <v>6</v>
      </c>
      <c r="D45" s="13">
        <v>6</v>
      </c>
      <c r="E45" s="13">
        <v>8</v>
      </c>
      <c r="F45" s="13">
        <v>6</v>
      </c>
      <c r="G45" s="13">
        <v>6</v>
      </c>
      <c r="H45" s="13">
        <v>9</v>
      </c>
      <c r="I45" s="13">
        <v>4</v>
      </c>
      <c r="J45" s="12" t="s">
        <v>20</v>
      </c>
      <c r="K45" s="19">
        <f>=SUM(C45:J45)</f>
      </c>
      <c r="M45" s="12" t="s">
        <v>20</v>
      </c>
      <c r="N45" s="12" t="s">
        <v>20</v>
      </c>
      <c r="O45" s="12" t="s">
        <v>20</v>
      </c>
      <c r="P45" s="12" t="s">
        <v>20</v>
      </c>
      <c r="Q45" s="13">
        <v>1</v>
      </c>
      <c r="R45" s="12" t="s">
        <v>20</v>
      </c>
      <c r="S45" s="12" t="s">
        <v>20</v>
      </c>
      <c r="T45" s="12" t="s">
        <v>20</v>
      </c>
      <c r="U45" s="19">
        <f>=SUM(M45:T45)</f>
      </c>
      <c r="W45" s="12" t="s">
        <v>20</v>
      </c>
      <c r="X45" s="12" t="s">
        <v>20</v>
      </c>
      <c r="Y45" s="12" t="s">
        <v>20</v>
      </c>
      <c r="Z45" s="12" t="s">
        <v>20</v>
      </c>
      <c r="AA45" s="12">
        <v>17</v>
      </c>
      <c r="AB45" s="12" t="s">
        <v>20</v>
      </c>
      <c r="AC45" s="12" t="s">
        <v>20</v>
      </c>
      <c r="AD45" s="12" t="s">
        <v>20</v>
      </c>
      <c r="AE45" s="19">
        <f>(U45/K45)*100</f>
      </c>
    </row>
    <row r="46">
      <c r="A46" s="43" t="s">
        <v>115</v>
      </c>
      <c r="B46" s="12" t="s">
        <v>116</v>
      </c>
      <c r="C46" s="13">
        <v>3</v>
      </c>
      <c r="D46" s="13">
        <v>3</v>
      </c>
      <c r="E46" s="13">
        <v>3</v>
      </c>
      <c r="F46" s="13">
        <v>3</v>
      </c>
      <c r="G46" s="13">
        <v>5</v>
      </c>
      <c r="H46" s="13">
        <v>2</v>
      </c>
      <c r="I46" s="12" t="s">
        <v>20</v>
      </c>
      <c r="J46" s="12" t="s">
        <v>20</v>
      </c>
      <c r="K46" s="19">
        <f>=SUM(C46:J46)</f>
      </c>
      <c r="M46" s="12" t="s">
        <v>20</v>
      </c>
      <c r="N46" s="12" t="s">
        <v>20</v>
      </c>
      <c r="O46" s="12" t="s">
        <v>20</v>
      </c>
      <c r="P46" s="12" t="s">
        <v>20</v>
      </c>
      <c r="Q46" s="12" t="s">
        <v>20</v>
      </c>
      <c r="R46" s="12" t="s">
        <v>20</v>
      </c>
      <c r="S46" s="12" t="s">
        <v>20</v>
      </c>
      <c r="T46" s="12" t="s">
        <v>20</v>
      </c>
      <c r="U46" s="19">
        <f>=SUM(M46:T46)</f>
      </c>
      <c r="W46" s="12" t="s">
        <v>20</v>
      </c>
      <c r="X46" s="12" t="s">
        <v>20</v>
      </c>
      <c r="Y46" s="12" t="s">
        <v>20</v>
      </c>
      <c r="Z46" s="12" t="s">
        <v>20</v>
      </c>
      <c r="AA46" s="12" t="s">
        <v>20</v>
      </c>
      <c r="AB46" s="12" t="s">
        <v>20</v>
      </c>
      <c r="AC46" s="12" t="s">
        <v>20</v>
      </c>
      <c r="AD46" s="12" t="s">
        <v>20</v>
      </c>
      <c r="AE46" s="19">
        <f>(U46/K46)*100</f>
      </c>
    </row>
    <row r="47">
      <c r="A47" s="43" t="s">
        <v>117</v>
      </c>
      <c r="B47" s="12" t="s">
        <v>118</v>
      </c>
      <c r="C47" s="13">
        <v>11</v>
      </c>
      <c r="D47" s="13">
        <v>12</v>
      </c>
      <c r="E47" s="13">
        <v>7</v>
      </c>
      <c r="F47" s="13">
        <v>8</v>
      </c>
      <c r="G47" s="13">
        <v>6</v>
      </c>
      <c r="H47" s="13">
        <v>9</v>
      </c>
      <c r="I47" s="13">
        <v>6</v>
      </c>
      <c r="J47" s="12" t="s">
        <v>20</v>
      </c>
      <c r="K47" s="19">
        <f>=SUM(C47:J47)</f>
      </c>
      <c r="M47" s="12" t="s">
        <v>20</v>
      </c>
      <c r="N47" s="13">
        <v>3</v>
      </c>
      <c r="O47" s="13">
        <v>1</v>
      </c>
      <c r="P47" s="12" t="s">
        <v>20</v>
      </c>
      <c r="Q47" s="12" t="s">
        <v>20</v>
      </c>
      <c r="R47" s="13">
        <v>1</v>
      </c>
      <c r="S47" s="12" t="s">
        <v>20</v>
      </c>
      <c r="T47" s="12" t="s">
        <v>20</v>
      </c>
      <c r="U47" s="19">
        <f>=SUM(M47:T47)</f>
      </c>
      <c r="W47" s="12" t="s">
        <v>20</v>
      </c>
      <c r="X47" s="12">
        <v>25</v>
      </c>
      <c r="Y47" s="12">
        <v>14</v>
      </c>
      <c r="Z47" s="12" t="s">
        <v>20</v>
      </c>
      <c r="AA47" s="12" t="s">
        <v>20</v>
      </c>
      <c r="AB47" s="12">
        <v>11</v>
      </c>
      <c r="AC47" s="12" t="s">
        <v>20</v>
      </c>
      <c r="AD47" s="12" t="s">
        <v>20</v>
      </c>
      <c r="AE47" s="19">
        <f>(U47/K47)*100</f>
      </c>
    </row>
    <row r="48">
      <c r="A48" s="43" t="s">
        <v>119</v>
      </c>
      <c r="B48" s="12" t="s">
        <v>120</v>
      </c>
      <c r="C48" s="12" t="s">
        <v>20</v>
      </c>
      <c r="D48" s="12" t="s">
        <v>20</v>
      </c>
      <c r="E48" s="12" t="s">
        <v>20</v>
      </c>
      <c r="F48" s="12" t="s">
        <v>20</v>
      </c>
      <c r="G48" s="12" t="s">
        <v>20</v>
      </c>
      <c r="H48" s="12" t="s">
        <v>20</v>
      </c>
      <c r="I48" s="12" t="s">
        <v>20</v>
      </c>
      <c r="J48" s="12" t="s">
        <v>20</v>
      </c>
      <c r="K48" s="19">
        <f>=SUM(C48:J48)</f>
      </c>
      <c r="M48" s="12" t="s">
        <v>20</v>
      </c>
      <c r="N48" s="12" t="s">
        <v>20</v>
      </c>
      <c r="O48" s="12" t="s">
        <v>20</v>
      </c>
      <c r="P48" s="12" t="s">
        <v>20</v>
      </c>
      <c r="Q48" s="12" t="s">
        <v>20</v>
      </c>
      <c r="R48" s="12" t="s">
        <v>20</v>
      </c>
      <c r="S48" s="12" t="s">
        <v>20</v>
      </c>
      <c r="T48" s="12" t="s">
        <v>20</v>
      </c>
      <c r="U48" s="19">
        <f>=SUM(M48:T48)</f>
      </c>
      <c r="W48" s="12" t="s">
        <v>20</v>
      </c>
      <c r="X48" s="12" t="s">
        <v>20</v>
      </c>
      <c r="Y48" s="12" t="s">
        <v>20</v>
      </c>
      <c r="Z48" s="12" t="s">
        <v>20</v>
      </c>
      <c r="AA48" s="12" t="s">
        <v>20</v>
      </c>
      <c r="AB48" s="12" t="s">
        <v>20</v>
      </c>
      <c r="AC48" s="12" t="s">
        <v>20</v>
      </c>
      <c r="AD48" s="12" t="s">
        <v>20</v>
      </c>
      <c r="AE48" s="19">
        <f>(U48/K48)*100</f>
      </c>
    </row>
    <row r="49">
      <c r="A49" s="43" t="s">
        <v>121</v>
      </c>
      <c r="B49" s="12" t="s">
        <v>122</v>
      </c>
      <c r="C49" s="12" t="s">
        <v>20</v>
      </c>
      <c r="D49" s="12" t="s">
        <v>20</v>
      </c>
      <c r="E49" s="12" t="s">
        <v>20</v>
      </c>
      <c r="F49" s="12" t="s">
        <v>20</v>
      </c>
      <c r="G49" s="12" t="s">
        <v>20</v>
      </c>
      <c r="H49" s="12" t="s">
        <v>20</v>
      </c>
      <c r="I49" s="12" t="s">
        <v>20</v>
      </c>
      <c r="J49" s="12" t="s">
        <v>20</v>
      </c>
      <c r="K49" s="19">
        <f>=SUM(C49:J49)</f>
      </c>
      <c r="M49" s="12" t="s">
        <v>20</v>
      </c>
      <c r="N49" s="12" t="s">
        <v>20</v>
      </c>
      <c r="O49" s="12" t="s">
        <v>20</v>
      </c>
      <c r="P49" s="12" t="s">
        <v>20</v>
      </c>
      <c r="Q49" s="12" t="s">
        <v>20</v>
      </c>
      <c r="R49" s="12" t="s">
        <v>20</v>
      </c>
      <c r="S49" s="12" t="s">
        <v>20</v>
      </c>
      <c r="T49" s="12" t="s">
        <v>20</v>
      </c>
      <c r="U49" s="19">
        <f>=SUM(M49:T49)</f>
      </c>
      <c r="W49" s="12" t="s">
        <v>20</v>
      </c>
      <c r="X49" s="12" t="s">
        <v>20</v>
      </c>
      <c r="Y49" s="12" t="s">
        <v>20</v>
      </c>
      <c r="Z49" s="12" t="s">
        <v>20</v>
      </c>
      <c r="AA49" s="12" t="s">
        <v>20</v>
      </c>
      <c r="AB49" s="12" t="s">
        <v>20</v>
      </c>
      <c r="AC49" s="12" t="s">
        <v>20</v>
      </c>
      <c r="AD49" s="12" t="s">
        <v>20</v>
      </c>
      <c r="AE49" s="19">
        <f>(U49/K49)*100</f>
      </c>
    </row>
    <row r="50">
      <c r="A50" s="43" t="s">
        <v>123</v>
      </c>
      <c r="B50" s="12" t="s">
        <v>124</v>
      </c>
      <c r="C50" s="12" t="s">
        <v>20</v>
      </c>
      <c r="D50" s="12" t="s">
        <v>20</v>
      </c>
      <c r="E50" s="12" t="s">
        <v>20</v>
      </c>
      <c r="F50" s="13">
        <v>1</v>
      </c>
      <c r="G50" s="12" t="s">
        <v>20</v>
      </c>
      <c r="H50" s="12" t="s">
        <v>20</v>
      </c>
      <c r="I50" s="12" t="s">
        <v>20</v>
      </c>
      <c r="J50" s="12" t="s">
        <v>20</v>
      </c>
      <c r="K50" s="19">
        <f>=SUM(C50:J50)</f>
      </c>
      <c r="M50" s="12" t="s">
        <v>20</v>
      </c>
      <c r="N50" s="12" t="s">
        <v>20</v>
      </c>
      <c r="O50" s="12" t="s">
        <v>20</v>
      </c>
      <c r="P50" s="12" t="s">
        <v>20</v>
      </c>
      <c r="Q50" s="12" t="s">
        <v>20</v>
      </c>
      <c r="R50" s="12" t="s">
        <v>20</v>
      </c>
      <c r="S50" s="12" t="s">
        <v>20</v>
      </c>
      <c r="T50" s="12" t="s">
        <v>20</v>
      </c>
      <c r="U50" s="19">
        <f>=SUM(M50:T50)</f>
      </c>
      <c r="W50" s="12" t="s">
        <v>20</v>
      </c>
      <c r="X50" s="12" t="s">
        <v>20</v>
      </c>
      <c r="Y50" s="12" t="s">
        <v>20</v>
      </c>
      <c r="Z50" s="12" t="s">
        <v>20</v>
      </c>
      <c r="AA50" s="12" t="s">
        <v>20</v>
      </c>
      <c r="AB50" s="12" t="s">
        <v>20</v>
      </c>
      <c r="AC50" s="12" t="s">
        <v>20</v>
      </c>
      <c r="AD50" s="12" t="s">
        <v>20</v>
      </c>
      <c r="AE50" s="19">
        <f>(U50/K50)*100</f>
      </c>
    </row>
    <row r="51">
      <c r="A51" s="43" t="s">
        <v>125</v>
      </c>
      <c r="B51" s="12" t="s">
        <v>126</v>
      </c>
      <c r="C51" s="13">
        <v>26</v>
      </c>
      <c r="D51" s="13">
        <v>25</v>
      </c>
      <c r="E51" s="13">
        <v>32</v>
      </c>
      <c r="F51" s="13">
        <v>30</v>
      </c>
      <c r="G51" s="13">
        <v>21</v>
      </c>
      <c r="H51" s="13">
        <v>25</v>
      </c>
      <c r="I51" s="13">
        <v>12</v>
      </c>
      <c r="J51" s="13">
        <v>2</v>
      </c>
      <c r="K51" s="19">
        <f>=SUM(C51:J51)</f>
      </c>
      <c r="M51" s="12" t="s">
        <v>20</v>
      </c>
      <c r="N51" s="12" t="s">
        <v>20</v>
      </c>
      <c r="O51" s="12" t="s">
        <v>20</v>
      </c>
      <c r="P51" s="12" t="s">
        <v>20</v>
      </c>
      <c r="Q51" s="12" t="s">
        <v>20</v>
      </c>
      <c r="R51" s="12" t="s">
        <v>20</v>
      </c>
      <c r="S51" s="12" t="s">
        <v>20</v>
      </c>
      <c r="T51" s="12" t="s">
        <v>20</v>
      </c>
      <c r="U51" s="19">
        <f>=SUM(M51:T51)</f>
      </c>
      <c r="W51" s="12" t="s">
        <v>20</v>
      </c>
      <c r="X51" s="12" t="s">
        <v>20</v>
      </c>
      <c r="Y51" s="12" t="s">
        <v>20</v>
      </c>
      <c r="Z51" s="12" t="s">
        <v>20</v>
      </c>
      <c r="AA51" s="12" t="s">
        <v>20</v>
      </c>
      <c r="AB51" s="12" t="s">
        <v>20</v>
      </c>
      <c r="AC51" s="12" t="s">
        <v>20</v>
      </c>
      <c r="AD51" s="12" t="s">
        <v>20</v>
      </c>
      <c r="AE51" s="19">
        <f>(U51/K51)*100</f>
      </c>
    </row>
    <row r="52">
      <c r="A52" s="43" t="s">
        <v>127</v>
      </c>
      <c r="B52" s="12" t="s">
        <v>128</v>
      </c>
      <c r="C52" s="13">
        <v>17</v>
      </c>
      <c r="D52" s="13">
        <v>10</v>
      </c>
      <c r="E52" s="13">
        <v>6</v>
      </c>
      <c r="F52" s="13">
        <v>6</v>
      </c>
      <c r="G52" s="13">
        <v>7</v>
      </c>
      <c r="H52" s="13">
        <v>4</v>
      </c>
      <c r="I52" s="13">
        <v>12</v>
      </c>
      <c r="J52" s="12" t="s">
        <v>20</v>
      </c>
      <c r="K52" s="19">
        <f>=SUM(C52:J52)</f>
      </c>
      <c r="M52" s="12" t="s">
        <v>20</v>
      </c>
      <c r="N52" s="12" t="s">
        <v>20</v>
      </c>
      <c r="O52" s="12" t="s">
        <v>20</v>
      </c>
      <c r="P52" s="12" t="s">
        <v>20</v>
      </c>
      <c r="Q52" s="12" t="s">
        <v>20</v>
      </c>
      <c r="R52" s="12" t="s">
        <v>20</v>
      </c>
      <c r="S52" s="12" t="s">
        <v>20</v>
      </c>
      <c r="T52" s="12" t="s">
        <v>20</v>
      </c>
      <c r="U52" s="19">
        <f>=SUM(M52:T52)</f>
      </c>
      <c r="W52" s="12" t="s">
        <v>20</v>
      </c>
      <c r="X52" s="12" t="s">
        <v>20</v>
      </c>
      <c r="Y52" s="12" t="s">
        <v>20</v>
      </c>
      <c r="Z52" s="12" t="s">
        <v>20</v>
      </c>
      <c r="AA52" s="12" t="s">
        <v>20</v>
      </c>
      <c r="AB52" s="12" t="s">
        <v>20</v>
      </c>
      <c r="AC52" s="12" t="s">
        <v>20</v>
      </c>
      <c r="AD52" s="12" t="s">
        <v>20</v>
      </c>
      <c r="AE52" s="19">
        <f>(U52/K52)*100</f>
      </c>
    </row>
    <row r="53">
      <c r="A53" s="43" t="s">
        <v>129</v>
      </c>
      <c r="B53" s="12" t="s">
        <v>130</v>
      </c>
      <c r="C53" s="13">
        <v>41</v>
      </c>
      <c r="D53" s="13">
        <v>31</v>
      </c>
      <c r="E53" s="13">
        <v>41</v>
      </c>
      <c r="F53" s="13">
        <v>37</v>
      </c>
      <c r="G53" s="13">
        <v>37</v>
      </c>
      <c r="H53" s="13">
        <v>41</v>
      </c>
      <c r="I53" s="13">
        <v>41</v>
      </c>
      <c r="J53" s="13">
        <v>1</v>
      </c>
      <c r="K53" s="19">
        <f>=SUM(C53:J53)</f>
      </c>
      <c r="M53" s="12" t="s">
        <v>20</v>
      </c>
      <c r="N53" s="12" t="s">
        <v>20</v>
      </c>
      <c r="O53" s="12" t="s">
        <v>20</v>
      </c>
      <c r="P53" s="12" t="s">
        <v>20</v>
      </c>
      <c r="Q53" s="12" t="s">
        <v>20</v>
      </c>
      <c r="R53" s="13">
        <v>1</v>
      </c>
      <c r="S53" s="13">
        <v>2</v>
      </c>
      <c r="T53" s="12" t="s">
        <v>20</v>
      </c>
      <c r="U53" s="19">
        <f>=SUM(M53:T53)</f>
      </c>
      <c r="W53" s="12" t="s">
        <v>20</v>
      </c>
      <c r="X53" s="12" t="s">
        <v>20</v>
      </c>
      <c r="Y53" s="12" t="s">
        <v>20</v>
      </c>
      <c r="Z53" s="12" t="s">
        <v>20</v>
      </c>
      <c r="AA53" s="12" t="s">
        <v>20</v>
      </c>
      <c r="AB53" s="12">
        <v>2</v>
      </c>
      <c r="AC53" s="12">
        <v>5</v>
      </c>
      <c r="AD53" s="12" t="s">
        <v>20</v>
      </c>
      <c r="AE53" s="19">
        <f>(U53/K53)*100</f>
      </c>
    </row>
    <row r="54">
      <c r="A54" s="43" t="s">
        <v>131</v>
      </c>
      <c r="B54" s="12" t="s">
        <v>132</v>
      </c>
      <c r="C54" s="12" t="s">
        <v>20</v>
      </c>
      <c r="D54" s="12" t="s">
        <v>20</v>
      </c>
      <c r="E54" s="12" t="s">
        <v>20</v>
      </c>
      <c r="F54" s="12" t="s">
        <v>20</v>
      </c>
      <c r="G54" s="12" t="s">
        <v>20</v>
      </c>
      <c r="H54" s="12" t="s">
        <v>20</v>
      </c>
      <c r="I54" s="12" t="s">
        <v>20</v>
      </c>
      <c r="J54" s="12" t="s">
        <v>20</v>
      </c>
      <c r="K54" s="19">
        <f>=SUM(C54:J54)</f>
      </c>
      <c r="M54" s="12" t="s">
        <v>20</v>
      </c>
      <c r="N54" s="12" t="s">
        <v>20</v>
      </c>
      <c r="O54" s="12" t="s">
        <v>20</v>
      </c>
      <c r="P54" s="12" t="s">
        <v>20</v>
      </c>
      <c r="Q54" s="12" t="s">
        <v>20</v>
      </c>
      <c r="R54" s="12" t="s">
        <v>20</v>
      </c>
      <c r="S54" s="12" t="s">
        <v>20</v>
      </c>
      <c r="T54" s="12" t="s">
        <v>20</v>
      </c>
      <c r="U54" s="19">
        <f>=SUM(M54:T54)</f>
      </c>
      <c r="W54" s="12" t="s">
        <v>20</v>
      </c>
      <c r="X54" s="12" t="s">
        <v>20</v>
      </c>
      <c r="Y54" s="12" t="s">
        <v>20</v>
      </c>
      <c r="Z54" s="12" t="s">
        <v>20</v>
      </c>
      <c r="AA54" s="12" t="s">
        <v>20</v>
      </c>
      <c r="AB54" s="12" t="s">
        <v>20</v>
      </c>
      <c r="AC54" s="12" t="s">
        <v>20</v>
      </c>
      <c r="AD54" s="12" t="s">
        <v>20</v>
      </c>
      <c r="AE54" s="19">
        <f>(U54/K54)*100</f>
      </c>
    </row>
    <row r="55">
      <c r="A55" s="43" t="s">
        <v>133</v>
      </c>
      <c r="B55" s="12" t="s">
        <v>134</v>
      </c>
      <c r="C55" s="13">
        <v>8</v>
      </c>
      <c r="D55" s="13">
        <v>8</v>
      </c>
      <c r="E55" s="13">
        <v>9</v>
      </c>
      <c r="F55" s="13">
        <v>7</v>
      </c>
      <c r="G55" s="12" t="s">
        <v>20</v>
      </c>
      <c r="H55" s="13">
        <v>2</v>
      </c>
      <c r="I55" s="12" t="s">
        <v>20</v>
      </c>
      <c r="J55" s="12" t="s">
        <v>20</v>
      </c>
      <c r="K55" s="19">
        <f>=SUM(C55:J55)</f>
      </c>
      <c r="M55" s="12" t="s">
        <v>20</v>
      </c>
      <c r="N55" s="12" t="s">
        <v>20</v>
      </c>
      <c r="O55" s="12" t="s">
        <v>20</v>
      </c>
      <c r="P55" s="12" t="s">
        <v>20</v>
      </c>
      <c r="Q55" s="12" t="s">
        <v>20</v>
      </c>
      <c r="R55" s="12" t="s">
        <v>20</v>
      </c>
      <c r="S55" s="12" t="s">
        <v>20</v>
      </c>
      <c r="T55" s="12" t="s">
        <v>20</v>
      </c>
      <c r="U55" s="19">
        <f>=SUM(M55:T55)</f>
      </c>
      <c r="W55" s="12" t="s">
        <v>20</v>
      </c>
      <c r="X55" s="12" t="s">
        <v>20</v>
      </c>
      <c r="Y55" s="12" t="s">
        <v>20</v>
      </c>
      <c r="Z55" s="12" t="s">
        <v>20</v>
      </c>
      <c r="AA55" s="12" t="s">
        <v>20</v>
      </c>
      <c r="AB55" s="12" t="s">
        <v>20</v>
      </c>
      <c r="AC55" s="12" t="s">
        <v>20</v>
      </c>
      <c r="AD55" s="12" t="s">
        <v>20</v>
      </c>
      <c r="AE55" s="19">
        <f>(U55/K55)*100</f>
      </c>
    </row>
    <row r="56">
      <c r="A56" s="43" t="s">
        <v>135</v>
      </c>
      <c r="B56" s="12" t="s">
        <v>136</v>
      </c>
      <c r="C56" s="12" t="s">
        <v>20</v>
      </c>
      <c r="D56" s="12" t="s">
        <v>20</v>
      </c>
      <c r="E56" s="13">
        <v>1</v>
      </c>
      <c r="F56" s="13">
        <v>1</v>
      </c>
      <c r="G56" s="13">
        <v>1</v>
      </c>
      <c r="H56" s="12" t="s">
        <v>20</v>
      </c>
      <c r="I56" s="12" t="s">
        <v>20</v>
      </c>
      <c r="J56" s="12" t="s">
        <v>20</v>
      </c>
      <c r="K56" s="19">
        <f>=SUM(C56:J56)</f>
      </c>
      <c r="M56" s="12" t="s">
        <v>20</v>
      </c>
      <c r="N56" s="12" t="s">
        <v>20</v>
      </c>
      <c r="O56" s="12" t="s">
        <v>20</v>
      </c>
      <c r="P56" s="12" t="s">
        <v>20</v>
      </c>
      <c r="Q56" s="12" t="s">
        <v>20</v>
      </c>
      <c r="R56" s="12" t="s">
        <v>20</v>
      </c>
      <c r="S56" s="12" t="s">
        <v>20</v>
      </c>
      <c r="T56" s="12" t="s">
        <v>20</v>
      </c>
      <c r="U56" s="19">
        <f>=SUM(M56:T56)</f>
      </c>
      <c r="W56" s="12" t="s">
        <v>20</v>
      </c>
      <c r="X56" s="12" t="s">
        <v>20</v>
      </c>
      <c r="Y56" s="12" t="s">
        <v>20</v>
      </c>
      <c r="Z56" s="12" t="s">
        <v>20</v>
      </c>
      <c r="AA56" s="12" t="s">
        <v>20</v>
      </c>
      <c r="AB56" s="12" t="s">
        <v>20</v>
      </c>
      <c r="AC56" s="12" t="s">
        <v>20</v>
      </c>
      <c r="AD56" s="12" t="s">
        <v>20</v>
      </c>
      <c r="AE56" s="19">
        <f>(U56/K56)*100</f>
      </c>
    </row>
    <row r="57">
      <c r="A57" s="43" t="s">
        <v>137</v>
      </c>
      <c r="B57" s="12" t="s">
        <v>138</v>
      </c>
      <c r="C57" s="13">
        <v>11</v>
      </c>
      <c r="D57" s="13">
        <v>11</v>
      </c>
      <c r="E57" s="13">
        <v>10</v>
      </c>
      <c r="F57" s="13">
        <v>8</v>
      </c>
      <c r="G57" s="13">
        <v>9</v>
      </c>
      <c r="H57" s="13">
        <v>9</v>
      </c>
      <c r="I57" s="13">
        <v>9</v>
      </c>
      <c r="J57" s="12" t="s">
        <v>20</v>
      </c>
      <c r="K57" s="19">
        <f>=SUM(C57:J57)</f>
      </c>
      <c r="M57" s="12" t="s">
        <v>20</v>
      </c>
      <c r="N57" s="12" t="s">
        <v>20</v>
      </c>
      <c r="O57" s="12" t="s">
        <v>20</v>
      </c>
      <c r="P57" s="12" t="s">
        <v>20</v>
      </c>
      <c r="Q57" s="12" t="s">
        <v>20</v>
      </c>
      <c r="R57" s="12" t="s">
        <v>20</v>
      </c>
      <c r="S57" s="12" t="s">
        <v>20</v>
      </c>
      <c r="T57" s="12" t="s">
        <v>20</v>
      </c>
      <c r="U57" s="19">
        <f>=SUM(M57:T57)</f>
      </c>
      <c r="W57" s="12" t="s">
        <v>20</v>
      </c>
      <c r="X57" s="12" t="s">
        <v>20</v>
      </c>
      <c r="Y57" s="12" t="s">
        <v>20</v>
      </c>
      <c r="Z57" s="12" t="s">
        <v>20</v>
      </c>
      <c r="AA57" s="12" t="s">
        <v>20</v>
      </c>
      <c r="AB57" s="12" t="s">
        <v>20</v>
      </c>
      <c r="AC57" s="12" t="s">
        <v>20</v>
      </c>
      <c r="AD57" s="12" t="s">
        <v>20</v>
      </c>
      <c r="AE57" s="19">
        <f>(U57/K57)*100</f>
      </c>
    </row>
    <row r="58">
      <c r="A58" s="43" t="s">
        <v>139</v>
      </c>
      <c r="B58" s="12" t="s">
        <v>140</v>
      </c>
      <c r="C58" s="13">
        <v>2</v>
      </c>
      <c r="D58" s="13">
        <v>1</v>
      </c>
      <c r="E58" s="13">
        <v>3</v>
      </c>
      <c r="F58" s="13">
        <v>5</v>
      </c>
      <c r="G58" s="13">
        <v>2</v>
      </c>
      <c r="H58" s="13">
        <v>3</v>
      </c>
      <c r="I58" s="13">
        <v>4</v>
      </c>
      <c r="J58" s="12" t="s">
        <v>20</v>
      </c>
      <c r="K58" s="19">
        <f>=SUM(C58:J58)</f>
      </c>
      <c r="M58" s="12" t="s">
        <v>20</v>
      </c>
      <c r="N58" s="12" t="s">
        <v>20</v>
      </c>
      <c r="O58" s="12" t="s">
        <v>20</v>
      </c>
      <c r="P58" s="12" t="s">
        <v>20</v>
      </c>
      <c r="Q58" s="12" t="s">
        <v>20</v>
      </c>
      <c r="R58" s="12" t="s">
        <v>20</v>
      </c>
      <c r="S58" s="12" t="s">
        <v>20</v>
      </c>
      <c r="T58" s="12" t="s">
        <v>20</v>
      </c>
      <c r="U58" s="19">
        <f>=SUM(M58:T58)</f>
      </c>
      <c r="W58" s="12" t="s">
        <v>20</v>
      </c>
      <c r="X58" s="12" t="s">
        <v>20</v>
      </c>
      <c r="Y58" s="12" t="s">
        <v>20</v>
      </c>
      <c r="Z58" s="12" t="s">
        <v>20</v>
      </c>
      <c r="AA58" s="12" t="s">
        <v>20</v>
      </c>
      <c r="AB58" s="12" t="s">
        <v>20</v>
      </c>
      <c r="AC58" s="12" t="s">
        <v>20</v>
      </c>
      <c r="AD58" s="12" t="s">
        <v>20</v>
      </c>
      <c r="AE58" s="19">
        <f>(U58/K58)*100</f>
      </c>
    </row>
    <row r="59">
      <c r="A59" s="43" t="s">
        <v>141</v>
      </c>
      <c r="B59" s="12" t="s">
        <v>142</v>
      </c>
      <c r="C59" s="12" t="s">
        <v>20</v>
      </c>
      <c r="D59" s="13">
        <v>1</v>
      </c>
      <c r="E59" s="12" t="s">
        <v>20</v>
      </c>
      <c r="F59" s="12" t="s">
        <v>20</v>
      </c>
      <c r="G59" s="12" t="s">
        <v>20</v>
      </c>
      <c r="H59" s="12" t="s">
        <v>20</v>
      </c>
      <c r="I59" s="12" t="s">
        <v>20</v>
      </c>
      <c r="J59" s="12" t="s">
        <v>20</v>
      </c>
      <c r="K59" s="19">
        <f>=SUM(C59:J59)</f>
      </c>
      <c r="M59" s="12" t="s">
        <v>20</v>
      </c>
      <c r="N59" s="12" t="s">
        <v>20</v>
      </c>
      <c r="O59" s="12" t="s">
        <v>20</v>
      </c>
      <c r="P59" s="12" t="s">
        <v>20</v>
      </c>
      <c r="Q59" s="12" t="s">
        <v>20</v>
      </c>
      <c r="R59" s="12" t="s">
        <v>20</v>
      </c>
      <c r="S59" s="12" t="s">
        <v>20</v>
      </c>
      <c r="T59" s="12" t="s">
        <v>20</v>
      </c>
      <c r="U59" s="19">
        <f>=SUM(M59:T59)</f>
      </c>
      <c r="W59" s="12" t="s">
        <v>20</v>
      </c>
      <c r="X59" s="12" t="s">
        <v>20</v>
      </c>
      <c r="Y59" s="12" t="s">
        <v>20</v>
      </c>
      <c r="Z59" s="12" t="s">
        <v>20</v>
      </c>
      <c r="AA59" s="12" t="s">
        <v>20</v>
      </c>
      <c r="AB59" s="12" t="s">
        <v>20</v>
      </c>
      <c r="AC59" s="12" t="s">
        <v>20</v>
      </c>
      <c r="AD59" s="12" t="s">
        <v>20</v>
      </c>
      <c r="AE59" s="19">
        <f>(U59/K59)*100</f>
      </c>
    </row>
    <row r="60">
      <c r="A60" s="43" t="s">
        <v>143</v>
      </c>
      <c r="B60" s="12" t="s">
        <v>144</v>
      </c>
      <c r="C60" s="12" t="s">
        <v>20</v>
      </c>
      <c r="D60" s="12" t="s">
        <v>20</v>
      </c>
      <c r="E60" s="12" t="s">
        <v>20</v>
      </c>
      <c r="F60" s="12" t="s">
        <v>20</v>
      </c>
      <c r="G60" s="12" t="s">
        <v>20</v>
      </c>
      <c r="H60" s="12" t="s">
        <v>20</v>
      </c>
      <c r="I60" s="12" t="s">
        <v>20</v>
      </c>
      <c r="J60" s="12" t="s">
        <v>20</v>
      </c>
      <c r="K60" s="19">
        <f>=SUM(C60:J60)</f>
      </c>
      <c r="M60" s="12" t="s">
        <v>20</v>
      </c>
      <c r="N60" s="12" t="s">
        <v>20</v>
      </c>
      <c r="O60" s="12" t="s">
        <v>20</v>
      </c>
      <c r="P60" s="12" t="s">
        <v>20</v>
      </c>
      <c r="Q60" s="12" t="s">
        <v>20</v>
      </c>
      <c r="R60" s="12" t="s">
        <v>20</v>
      </c>
      <c r="S60" s="12" t="s">
        <v>20</v>
      </c>
      <c r="T60" s="12" t="s">
        <v>20</v>
      </c>
      <c r="U60" s="19">
        <f>=SUM(M60:T60)</f>
      </c>
      <c r="W60" s="12" t="s">
        <v>20</v>
      </c>
      <c r="X60" s="12" t="s">
        <v>20</v>
      </c>
      <c r="Y60" s="12" t="s">
        <v>20</v>
      </c>
      <c r="Z60" s="12" t="s">
        <v>20</v>
      </c>
      <c r="AA60" s="12" t="s">
        <v>20</v>
      </c>
      <c r="AB60" s="12" t="s">
        <v>20</v>
      </c>
      <c r="AC60" s="12" t="s">
        <v>20</v>
      </c>
      <c r="AD60" s="12" t="s">
        <v>20</v>
      </c>
      <c r="AE60" s="19">
        <f>(U60/K60)*100</f>
      </c>
    </row>
    <row r="61">
      <c r="A61" s="43" t="s">
        <v>145</v>
      </c>
      <c r="B61" s="12" t="s">
        <v>146</v>
      </c>
      <c r="C61" s="12" t="s">
        <v>20</v>
      </c>
      <c r="D61" s="12" t="s">
        <v>20</v>
      </c>
      <c r="E61" s="12" t="s">
        <v>20</v>
      </c>
      <c r="F61" s="12" t="s">
        <v>20</v>
      </c>
      <c r="G61" s="12" t="s">
        <v>20</v>
      </c>
      <c r="H61" s="12" t="s">
        <v>20</v>
      </c>
      <c r="I61" s="12" t="s">
        <v>20</v>
      </c>
      <c r="J61" s="12" t="s">
        <v>20</v>
      </c>
      <c r="K61" s="19">
        <f>=SUM(C61:J61)</f>
      </c>
      <c r="M61" s="12" t="s">
        <v>20</v>
      </c>
      <c r="N61" s="12" t="s">
        <v>20</v>
      </c>
      <c r="O61" s="12" t="s">
        <v>20</v>
      </c>
      <c r="P61" s="12" t="s">
        <v>20</v>
      </c>
      <c r="Q61" s="12" t="s">
        <v>20</v>
      </c>
      <c r="R61" s="12" t="s">
        <v>20</v>
      </c>
      <c r="S61" s="12" t="s">
        <v>20</v>
      </c>
      <c r="T61" s="12" t="s">
        <v>20</v>
      </c>
      <c r="U61" s="19">
        <f>=SUM(M61:T61)</f>
      </c>
      <c r="W61" s="12" t="s">
        <v>20</v>
      </c>
      <c r="X61" s="12" t="s">
        <v>20</v>
      </c>
      <c r="Y61" s="12" t="s">
        <v>20</v>
      </c>
      <c r="Z61" s="12" t="s">
        <v>20</v>
      </c>
      <c r="AA61" s="12" t="s">
        <v>20</v>
      </c>
      <c r="AB61" s="12" t="s">
        <v>20</v>
      </c>
      <c r="AC61" s="12" t="s">
        <v>20</v>
      </c>
      <c r="AD61" s="12" t="s">
        <v>20</v>
      </c>
      <c r="AE61" s="19">
        <f>(U61/K61)*100</f>
      </c>
    </row>
    <row r="62">
      <c r="A62" s="43" t="s">
        <v>147</v>
      </c>
      <c r="B62" s="12" t="s">
        <v>148</v>
      </c>
      <c r="C62" s="12" t="s">
        <v>20</v>
      </c>
      <c r="D62" s="12" t="s">
        <v>20</v>
      </c>
      <c r="E62" s="12" t="s">
        <v>20</v>
      </c>
      <c r="F62" s="12" t="s">
        <v>20</v>
      </c>
      <c r="G62" s="12" t="s">
        <v>20</v>
      </c>
      <c r="H62" s="12" t="s">
        <v>20</v>
      </c>
      <c r="I62" s="12" t="s">
        <v>20</v>
      </c>
      <c r="J62" s="12" t="s">
        <v>20</v>
      </c>
      <c r="K62" s="19">
        <f>=SUM(C62:J62)</f>
      </c>
      <c r="M62" s="12" t="s">
        <v>20</v>
      </c>
      <c r="N62" s="12" t="s">
        <v>20</v>
      </c>
      <c r="O62" s="12" t="s">
        <v>20</v>
      </c>
      <c r="P62" s="12" t="s">
        <v>20</v>
      </c>
      <c r="Q62" s="12" t="s">
        <v>20</v>
      </c>
      <c r="R62" s="12" t="s">
        <v>20</v>
      </c>
      <c r="S62" s="12" t="s">
        <v>20</v>
      </c>
      <c r="T62" s="12" t="s">
        <v>20</v>
      </c>
      <c r="U62" s="19">
        <f>=SUM(M62:T62)</f>
      </c>
      <c r="W62" s="12" t="s">
        <v>20</v>
      </c>
      <c r="X62" s="12" t="s">
        <v>20</v>
      </c>
      <c r="Y62" s="12" t="s">
        <v>20</v>
      </c>
      <c r="Z62" s="12" t="s">
        <v>20</v>
      </c>
      <c r="AA62" s="12" t="s">
        <v>20</v>
      </c>
      <c r="AB62" s="12" t="s">
        <v>20</v>
      </c>
      <c r="AC62" s="12" t="s">
        <v>20</v>
      </c>
      <c r="AD62" s="12" t="s">
        <v>20</v>
      </c>
      <c r="AE62" s="19">
        <f>(U62/K62)*100</f>
      </c>
    </row>
    <row r="63">
      <c r="A63" s="43" t="s">
        <v>149</v>
      </c>
      <c r="B63" s="12" t="s">
        <v>150</v>
      </c>
      <c r="C63" s="12" t="s">
        <v>20</v>
      </c>
      <c r="D63" s="12" t="s">
        <v>20</v>
      </c>
      <c r="E63" s="12" t="s">
        <v>20</v>
      </c>
      <c r="F63" s="12" t="s">
        <v>20</v>
      </c>
      <c r="G63" s="12" t="s">
        <v>20</v>
      </c>
      <c r="H63" s="12" t="s">
        <v>20</v>
      </c>
      <c r="I63" s="12" t="s">
        <v>20</v>
      </c>
      <c r="J63" s="12" t="s">
        <v>20</v>
      </c>
      <c r="K63" s="19">
        <f>=SUM(C63:J63)</f>
      </c>
      <c r="M63" s="12" t="s">
        <v>20</v>
      </c>
      <c r="N63" s="12" t="s">
        <v>20</v>
      </c>
      <c r="O63" s="12" t="s">
        <v>20</v>
      </c>
      <c r="P63" s="12" t="s">
        <v>20</v>
      </c>
      <c r="Q63" s="12" t="s">
        <v>20</v>
      </c>
      <c r="R63" s="12" t="s">
        <v>20</v>
      </c>
      <c r="S63" s="12" t="s">
        <v>20</v>
      </c>
      <c r="T63" s="12" t="s">
        <v>20</v>
      </c>
      <c r="U63" s="19">
        <f>=SUM(M63:T63)</f>
      </c>
      <c r="W63" s="12" t="s">
        <v>20</v>
      </c>
      <c r="X63" s="12" t="s">
        <v>20</v>
      </c>
      <c r="Y63" s="12" t="s">
        <v>20</v>
      </c>
      <c r="Z63" s="12" t="s">
        <v>20</v>
      </c>
      <c r="AA63" s="12" t="s">
        <v>20</v>
      </c>
      <c r="AB63" s="12" t="s">
        <v>20</v>
      </c>
      <c r="AC63" s="12" t="s">
        <v>20</v>
      </c>
      <c r="AD63" s="12" t="s">
        <v>20</v>
      </c>
      <c r="AE63" s="19">
        <f>(U63/K63)*100</f>
      </c>
    </row>
    <row r="64">
      <c r="A64" s="43" t="s">
        <v>151</v>
      </c>
      <c r="B64" s="12" t="s">
        <v>152</v>
      </c>
      <c r="C64" s="12" t="s">
        <v>20</v>
      </c>
      <c r="D64" s="12" t="s">
        <v>20</v>
      </c>
      <c r="E64" s="12" t="s">
        <v>20</v>
      </c>
      <c r="F64" s="12" t="s">
        <v>20</v>
      </c>
      <c r="G64" s="12" t="s">
        <v>20</v>
      </c>
      <c r="H64" s="12" t="s">
        <v>20</v>
      </c>
      <c r="I64" s="12" t="s">
        <v>20</v>
      </c>
      <c r="J64" s="12" t="s">
        <v>20</v>
      </c>
      <c r="K64" s="19">
        <f>=SUM(C64:J64)</f>
      </c>
      <c r="M64" s="12" t="s">
        <v>20</v>
      </c>
      <c r="N64" s="12" t="s">
        <v>20</v>
      </c>
      <c r="O64" s="12" t="s">
        <v>20</v>
      </c>
      <c r="P64" s="12" t="s">
        <v>20</v>
      </c>
      <c r="Q64" s="12" t="s">
        <v>20</v>
      </c>
      <c r="R64" s="12" t="s">
        <v>20</v>
      </c>
      <c r="S64" s="12" t="s">
        <v>20</v>
      </c>
      <c r="T64" s="12" t="s">
        <v>20</v>
      </c>
      <c r="U64" s="19">
        <f>=SUM(M64:T64)</f>
      </c>
      <c r="W64" s="12" t="s">
        <v>20</v>
      </c>
      <c r="X64" s="12" t="s">
        <v>20</v>
      </c>
      <c r="Y64" s="12" t="s">
        <v>20</v>
      </c>
      <c r="Z64" s="12" t="s">
        <v>20</v>
      </c>
      <c r="AA64" s="12" t="s">
        <v>20</v>
      </c>
      <c r="AB64" s="12" t="s">
        <v>20</v>
      </c>
      <c r="AC64" s="12" t="s">
        <v>20</v>
      </c>
      <c r="AD64" s="12" t="s">
        <v>20</v>
      </c>
      <c r="AE64" s="19">
        <f>(U64/K64)*100</f>
      </c>
    </row>
    <row r="65">
      <c r="A65" s="43" t="s">
        <v>153</v>
      </c>
      <c r="B65" s="12" t="s">
        <v>154</v>
      </c>
      <c r="C65" s="12" t="s">
        <v>20</v>
      </c>
      <c r="D65" s="12" t="s">
        <v>20</v>
      </c>
      <c r="E65" s="12" t="s">
        <v>20</v>
      </c>
      <c r="F65" s="12" t="s">
        <v>20</v>
      </c>
      <c r="G65" s="12" t="s">
        <v>20</v>
      </c>
      <c r="H65" s="12" t="s">
        <v>20</v>
      </c>
      <c r="I65" s="12" t="s">
        <v>20</v>
      </c>
      <c r="J65" s="12" t="s">
        <v>20</v>
      </c>
      <c r="K65" s="19">
        <f>=SUM(C65:J65)</f>
      </c>
      <c r="M65" s="12" t="s">
        <v>20</v>
      </c>
      <c r="N65" s="12" t="s">
        <v>20</v>
      </c>
      <c r="O65" s="12" t="s">
        <v>20</v>
      </c>
      <c r="P65" s="12" t="s">
        <v>20</v>
      </c>
      <c r="Q65" s="12" t="s">
        <v>20</v>
      </c>
      <c r="R65" s="12" t="s">
        <v>20</v>
      </c>
      <c r="S65" s="12" t="s">
        <v>20</v>
      </c>
      <c r="T65" s="12" t="s">
        <v>20</v>
      </c>
      <c r="U65" s="19">
        <f>=SUM(M65:T65)</f>
      </c>
      <c r="W65" s="12" t="s">
        <v>20</v>
      </c>
      <c r="X65" s="12" t="s">
        <v>20</v>
      </c>
      <c r="Y65" s="12" t="s">
        <v>20</v>
      </c>
      <c r="Z65" s="12" t="s">
        <v>20</v>
      </c>
      <c r="AA65" s="12" t="s">
        <v>20</v>
      </c>
      <c r="AB65" s="12" t="s">
        <v>20</v>
      </c>
      <c r="AC65" s="12" t="s">
        <v>20</v>
      </c>
      <c r="AD65" s="12" t="s">
        <v>20</v>
      </c>
      <c r="AE65" s="19">
        <f>(U65/K65)*100</f>
      </c>
    </row>
    <row r="66">
      <c r="A66" s="43" t="s">
        <v>155</v>
      </c>
      <c r="B66" s="12" t="s">
        <v>156</v>
      </c>
      <c r="C66" s="12" t="s">
        <v>20</v>
      </c>
      <c r="D66" s="12" t="s">
        <v>20</v>
      </c>
      <c r="E66" s="12" t="s">
        <v>20</v>
      </c>
      <c r="F66" s="12" t="s">
        <v>20</v>
      </c>
      <c r="G66" s="12" t="s">
        <v>20</v>
      </c>
      <c r="H66" s="12" t="s">
        <v>20</v>
      </c>
      <c r="I66" s="12" t="s">
        <v>20</v>
      </c>
      <c r="J66" s="12" t="s">
        <v>20</v>
      </c>
      <c r="K66" s="19">
        <f>=SUM(C66:J66)</f>
      </c>
      <c r="M66" s="12" t="s">
        <v>20</v>
      </c>
      <c r="N66" s="12" t="s">
        <v>20</v>
      </c>
      <c r="O66" s="12" t="s">
        <v>20</v>
      </c>
      <c r="P66" s="12" t="s">
        <v>20</v>
      </c>
      <c r="Q66" s="12" t="s">
        <v>20</v>
      </c>
      <c r="R66" s="12" t="s">
        <v>20</v>
      </c>
      <c r="S66" s="12" t="s">
        <v>20</v>
      </c>
      <c r="T66" s="12" t="s">
        <v>20</v>
      </c>
      <c r="U66" s="19">
        <f>=SUM(M66:T66)</f>
      </c>
      <c r="W66" s="12" t="s">
        <v>20</v>
      </c>
      <c r="X66" s="12" t="s">
        <v>20</v>
      </c>
      <c r="Y66" s="12" t="s">
        <v>20</v>
      </c>
      <c r="Z66" s="12" t="s">
        <v>20</v>
      </c>
      <c r="AA66" s="12" t="s">
        <v>20</v>
      </c>
      <c r="AB66" s="12" t="s">
        <v>20</v>
      </c>
      <c r="AC66" s="12" t="s">
        <v>20</v>
      </c>
      <c r="AD66" s="12" t="s">
        <v>20</v>
      </c>
      <c r="AE66" s="19">
        <f>(U66/K66)*100</f>
      </c>
    </row>
    <row r="67">
      <c r="A67" s="43" t="s">
        <v>157</v>
      </c>
      <c r="B67" s="12" t="s">
        <v>158</v>
      </c>
      <c r="C67" s="12" t="s">
        <v>20</v>
      </c>
      <c r="D67" s="12" t="s">
        <v>20</v>
      </c>
      <c r="E67" s="12" t="s">
        <v>20</v>
      </c>
      <c r="F67" s="12" t="s">
        <v>20</v>
      </c>
      <c r="G67" s="12" t="s">
        <v>20</v>
      </c>
      <c r="H67" s="12" t="s">
        <v>20</v>
      </c>
      <c r="I67" s="12" t="s">
        <v>20</v>
      </c>
      <c r="J67" s="12" t="s">
        <v>20</v>
      </c>
      <c r="K67" s="19">
        <f>=SUM(C67:J67)</f>
      </c>
      <c r="M67" s="12" t="s">
        <v>20</v>
      </c>
      <c r="N67" s="12" t="s">
        <v>20</v>
      </c>
      <c r="O67" s="12" t="s">
        <v>20</v>
      </c>
      <c r="P67" s="12" t="s">
        <v>20</v>
      </c>
      <c r="Q67" s="12" t="s">
        <v>20</v>
      </c>
      <c r="R67" s="12" t="s">
        <v>20</v>
      </c>
      <c r="S67" s="12" t="s">
        <v>20</v>
      </c>
      <c r="T67" s="12" t="s">
        <v>20</v>
      </c>
      <c r="U67" s="19">
        <f>=SUM(M67:T67)</f>
      </c>
      <c r="W67" s="12" t="s">
        <v>20</v>
      </c>
      <c r="X67" s="12" t="s">
        <v>20</v>
      </c>
      <c r="Y67" s="12" t="s">
        <v>20</v>
      </c>
      <c r="Z67" s="12" t="s">
        <v>20</v>
      </c>
      <c r="AA67" s="12" t="s">
        <v>20</v>
      </c>
      <c r="AB67" s="12" t="s">
        <v>20</v>
      </c>
      <c r="AC67" s="12" t="s">
        <v>20</v>
      </c>
      <c r="AD67" s="12" t="s">
        <v>20</v>
      </c>
      <c r="AE67" s="19">
        <f>(U67/K67)*100</f>
      </c>
    </row>
    <row r="68">
      <c r="A68" s="43" t="s">
        <v>159</v>
      </c>
      <c r="B68" s="12" t="s">
        <v>160</v>
      </c>
      <c r="C68" s="12" t="s">
        <v>20</v>
      </c>
      <c r="D68" s="12" t="s">
        <v>20</v>
      </c>
      <c r="E68" s="12" t="s">
        <v>20</v>
      </c>
      <c r="F68" s="12" t="s">
        <v>20</v>
      </c>
      <c r="G68" s="12" t="s">
        <v>20</v>
      </c>
      <c r="H68" s="12" t="s">
        <v>20</v>
      </c>
      <c r="I68" s="12" t="s">
        <v>20</v>
      </c>
      <c r="J68" s="12" t="s">
        <v>20</v>
      </c>
      <c r="K68" s="19">
        <f>=SUM(C68:J68)</f>
      </c>
      <c r="M68" s="12" t="s">
        <v>20</v>
      </c>
      <c r="N68" s="12" t="s">
        <v>20</v>
      </c>
      <c r="O68" s="12" t="s">
        <v>20</v>
      </c>
      <c r="P68" s="12" t="s">
        <v>20</v>
      </c>
      <c r="Q68" s="12" t="s">
        <v>20</v>
      </c>
      <c r="R68" s="12" t="s">
        <v>20</v>
      </c>
      <c r="S68" s="12" t="s">
        <v>20</v>
      </c>
      <c r="T68" s="12" t="s">
        <v>20</v>
      </c>
      <c r="U68" s="19">
        <f>=SUM(M68:T68)</f>
      </c>
      <c r="W68" s="12" t="s">
        <v>20</v>
      </c>
      <c r="X68" s="12" t="s">
        <v>20</v>
      </c>
      <c r="Y68" s="12" t="s">
        <v>20</v>
      </c>
      <c r="Z68" s="12" t="s">
        <v>20</v>
      </c>
      <c r="AA68" s="12" t="s">
        <v>20</v>
      </c>
      <c r="AB68" s="12" t="s">
        <v>20</v>
      </c>
      <c r="AC68" s="12" t="s">
        <v>20</v>
      </c>
      <c r="AD68" s="12" t="s">
        <v>20</v>
      </c>
      <c r="AE68" s="19">
        <f>(U68/K68)*100</f>
      </c>
    </row>
    <row r="69">
      <c r="A69" s="43" t="s">
        <v>161</v>
      </c>
      <c r="B69" s="12" t="s">
        <v>162</v>
      </c>
      <c r="C69" s="12" t="s">
        <v>20</v>
      </c>
      <c r="D69" s="12" t="s">
        <v>20</v>
      </c>
      <c r="E69" s="12" t="s">
        <v>20</v>
      </c>
      <c r="F69" s="12" t="s">
        <v>20</v>
      </c>
      <c r="G69" s="13">
        <v>1</v>
      </c>
      <c r="H69" s="12" t="s">
        <v>20</v>
      </c>
      <c r="I69" s="12" t="s">
        <v>20</v>
      </c>
      <c r="J69" s="12" t="s">
        <v>20</v>
      </c>
      <c r="K69" s="19">
        <f>=SUM(C69:J69)</f>
      </c>
      <c r="M69" s="12" t="s">
        <v>20</v>
      </c>
      <c r="N69" s="12" t="s">
        <v>20</v>
      </c>
      <c r="O69" s="12" t="s">
        <v>20</v>
      </c>
      <c r="P69" s="12" t="s">
        <v>20</v>
      </c>
      <c r="Q69" s="12" t="s">
        <v>20</v>
      </c>
      <c r="R69" s="12" t="s">
        <v>20</v>
      </c>
      <c r="S69" s="12" t="s">
        <v>20</v>
      </c>
      <c r="T69" s="12" t="s">
        <v>20</v>
      </c>
      <c r="U69" s="19">
        <f>=SUM(M69:T69)</f>
      </c>
      <c r="W69" s="12" t="s">
        <v>20</v>
      </c>
      <c r="X69" s="12" t="s">
        <v>20</v>
      </c>
      <c r="Y69" s="12" t="s">
        <v>20</v>
      </c>
      <c r="Z69" s="12" t="s">
        <v>20</v>
      </c>
      <c r="AA69" s="12" t="s">
        <v>20</v>
      </c>
      <c r="AB69" s="12" t="s">
        <v>20</v>
      </c>
      <c r="AC69" s="12" t="s">
        <v>20</v>
      </c>
      <c r="AD69" s="12" t="s">
        <v>20</v>
      </c>
      <c r="AE69" s="19">
        <f>(U69/K69)*100</f>
      </c>
    </row>
    <row r="70">
      <c r="A70" s="43" t="s">
        <v>163</v>
      </c>
      <c r="B70" s="12" t="s">
        <v>164</v>
      </c>
      <c r="C70" s="12" t="s">
        <v>20</v>
      </c>
      <c r="D70" s="12" t="s">
        <v>20</v>
      </c>
      <c r="E70" s="12" t="s">
        <v>20</v>
      </c>
      <c r="F70" s="12" t="s">
        <v>20</v>
      </c>
      <c r="G70" s="12" t="s">
        <v>20</v>
      </c>
      <c r="H70" s="12" t="s">
        <v>20</v>
      </c>
      <c r="I70" s="12" t="s">
        <v>20</v>
      </c>
      <c r="J70" s="12" t="s">
        <v>20</v>
      </c>
      <c r="K70" s="19">
        <f>=SUM(C70:J70)</f>
      </c>
      <c r="M70" s="12" t="s">
        <v>20</v>
      </c>
      <c r="N70" s="12" t="s">
        <v>20</v>
      </c>
      <c r="O70" s="12" t="s">
        <v>20</v>
      </c>
      <c r="P70" s="12" t="s">
        <v>20</v>
      </c>
      <c r="Q70" s="12" t="s">
        <v>20</v>
      </c>
      <c r="R70" s="12" t="s">
        <v>20</v>
      </c>
      <c r="S70" s="12" t="s">
        <v>20</v>
      </c>
      <c r="T70" s="12" t="s">
        <v>20</v>
      </c>
      <c r="U70" s="19">
        <f>=SUM(M70:T70)</f>
      </c>
      <c r="W70" s="12" t="s">
        <v>20</v>
      </c>
      <c r="X70" s="12" t="s">
        <v>20</v>
      </c>
      <c r="Y70" s="12" t="s">
        <v>20</v>
      </c>
      <c r="Z70" s="12" t="s">
        <v>20</v>
      </c>
      <c r="AA70" s="12" t="s">
        <v>20</v>
      </c>
      <c r="AB70" s="12" t="s">
        <v>20</v>
      </c>
      <c r="AC70" s="12" t="s">
        <v>20</v>
      </c>
      <c r="AD70" s="12" t="s">
        <v>20</v>
      </c>
      <c r="AE70" s="19">
        <f>(U70/K70)*100</f>
      </c>
    </row>
    <row r="71">
      <c r="A71" s="43" t="s">
        <v>165</v>
      </c>
      <c r="B71" s="12" t="s">
        <v>166</v>
      </c>
      <c r="C71" s="12" t="s">
        <v>20</v>
      </c>
      <c r="D71" s="12" t="s">
        <v>20</v>
      </c>
      <c r="E71" s="12" t="s">
        <v>20</v>
      </c>
      <c r="F71" s="12" t="s">
        <v>20</v>
      </c>
      <c r="G71" s="13">
        <v>1</v>
      </c>
      <c r="H71" s="12" t="s">
        <v>20</v>
      </c>
      <c r="I71" s="12" t="s">
        <v>20</v>
      </c>
      <c r="J71" s="12" t="s">
        <v>20</v>
      </c>
      <c r="K71" s="19">
        <f>=SUM(C71:J71)</f>
      </c>
      <c r="M71" s="12" t="s">
        <v>20</v>
      </c>
      <c r="N71" s="12" t="s">
        <v>20</v>
      </c>
      <c r="O71" s="12" t="s">
        <v>20</v>
      </c>
      <c r="P71" s="12" t="s">
        <v>20</v>
      </c>
      <c r="Q71" s="12" t="s">
        <v>20</v>
      </c>
      <c r="R71" s="12" t="s">
        <v>20</v>
      </c>
      <c r="S71" s="12" t="s">
        <v>20</v>
      </c>
      <c r="T71" s="12" t="s">
        <v>20</v>
      </c>
      <c r="U71" s="19">
        <f>=SUM(M71:T71)</f>
      </c>
      <c r="W71" s="12" t="s">
        <v>20</v>
      </c>
      <c r="X71" s="12" t="s">
        <v>20</v>
      </c>
      <c r="Y71" s="12" t="s">
        <v>20</v>
      </c>
      <c r="Z71" s="12" t="s">
        <v>20</v>
      </c>
      <c r="AA71" s="12" t="s">
        <v>20</v>
      </c>
      <c r="AB71" s="12" t="s">
        <v>20</v>
      </c>
      <c r="AC71" s="12" t="s">
        <v>20</v>
      </c>
      <c r="AD71" s="12" t="s">
        <v>20</v>
      </c>
      <c r="AE71" s="19">
        <f>(U71/K71)*100</f>
      </c>
    </row>
    <row r="72">
      <c r="A72" s="43" t="s">
        <v>167</v>
      </c>
      <c r="B72" s="12" t="s">
        <v>168</v>
      </c>
      <c r="C72" s="12" t="s">
        <v>20</v>
      </c>
      <c r="D72" s="12" t="s">
        <v>20</v>
      </c>
      <c r="E72" s="12" t="s">
        <v>20</v>
      </c>
      <c r="F72" s="12" t="s">
        <v>20</v>
      </c>
      <c r="G72" s="12" t="s">
        <v>20</v>
      </c>
      <c r="H72" s="12" t="s">
        <v>20</v>
      </c>
      <c r="I72" s="12" t="s">
        <v>20</v>
      </c>
      <c r="J72" s="12" t="s">
        <v>20</v>
      </c>
      <c r="K72" s="19">
        <f>=SUM(C72:J72)</f>
      </c>
      <c r="M72" s="12" t="s">
        <v>20</v>
      </c>
      <c r="N72" s="12" t="s">
        <v>20</v>
      </c>
      <c r="O72" s="12" t="s">
        <v>20</v>
      </c>
      <c r="P72" s="12" t="s">
        <v>20</v>
      </c>
      <c r="Q72" s="12" t="s">
        <v>20</v>
      </c>
      <c r="R72" s="12" t="s">
        <v>20</v>
      </c>
      <c r="S72" s="12" t="s">
        <v>20</v>
      </c>
      <c r="T72" s="12" t="s">
        <v>20</v>
      </c>
      <c r="U72" s="19">
        <f>=SUM(M72:T72)</f>
      </c>
      <c r="W72" s="12" t="s">
        <v>20</v>
      </c>
      <c r="X72" s="12" t="s">
        <v>20</v>
      </c>
      <c r="Y72" s="12" t="s">
        <v>20</v>
      </c>
      <c r="Z72" s="12" t="s">
        <v>20</v>
      </c>
      <c r="AA72" s="12" t="s">
        <v>20</v>
      </c>
      <c r="AB72" s="12" t="s">
        <v>20</v>
      </c>
      <c r="AC72" s="12" t="s">
        <v>20</v>
      </c>
      <c r="AD72" s="12" t="s">
        <v>20</v>
      </c>
      <c r="AE72" s="19">
        <f>(U72/K72)*100</f>
      </c>
    </row>
    <row r="73">
      <c r="A73" s="43" t="s">
        <v>169</v>
      </c>
      <c r="B73" s="12" t="s">
        <v>170</v>
      </c>
      <c r="C73" s="13">
        <v>1</v>
      </c>
      <c r="D73" s="13">
        <v>1</v>
      </c>
      <c r="E73" s="13">
        <v>1</v>
      </c>
      <c r="F73" s="13">
        <v>1</v>
      </c>
      <c r="G73" s="13">
        <v>1</v>
      </c>
      <c r="H73" s="13">
        <v>1</v>
      </c>
      <c r="I73" s="13">
        <v>1</v>
      </c>
      <c r="J73" s="12" t="s">
        <v>20</v>
      </c>
      <c r="K73" s="19">
        <f>=SUM(C73:J73)</f>
      </c>
      <c r="M73" s="12" t="s">
        <v>20</v>
      </c>
      <c r="N73" s="12" t="s">
        <v>20</v>
      </c>
      <c r="O73" s="12" t="s">
        <v>20</v>
      </c>
      <c r="P73" s="12" t="s">
        <v>20</v>
      </c>
      <c r="Q73" s="12" t="s">
        <v>20</v>
      </c>
      <c r="R73" s="12" t="s">
        <v>20</v>
      </c>
      <c r="S73" s="12" t="s">
        <v>20</v>
      </c>
      <c r="T73" s="12" t="s">
        <v>20</v>
      </c>
      <c r="U73" s="19">
        <f>=SUM(M73:T73)</f>
      </c>
      <c r="W73" s="12" t="s">
        <v>20</v>
      </c>
      <c r="X73" s="12" t="s">
        <v>20</v>
      </c>
      <c r="Y73" s="12" t="s">
        <v>20</v>
      </c>
      <c r="Z73" s="12" t="s">
        <v>20</v>
      </c>
      <c r="AA73" s="12" t="s">
        <v>20</v>
      </c>
      <c r="AB73" s="12" t="s">
        <v>20</v>
      </c>
      <c r="AC73" s="12" t="s">
        <v>20</v>
      </c>
      <c r="AD73" s="12" t="s">
        <v>20</v>
      </c>
      <c r="AE73" s="19">
        <f>(U73/K73)*100</f>
      </c>
    </row>
    <row r="74">
      <c r="A74" s="43" t="s">
        <v>171</v>
      </c>
      <c r="B74" s="12" t="s">
        <v>172</v>
      </c>
      <c r="C74" s="12" t="s">
        <v>20</v>
      </c>
      <c r="D74" s="12" t="s">
        <v>20</v>
      </c>
      <c r="E74" s="12" t="s">
        <v>20</v>
      </c>
      <c r="F74" s="12" t="s">
        <v>20</v>
      </c>
      <c r="G74" s="12" t="s">
        <v>20</v>
      </c>
      <c r="H74" s="12" t="s">
        <v>20</v>
      </c>
      <c r="I74" s="12" t="s">
        <v>20</v>
      </c>
      <c r="J74" s="12" t="s">
        <v>20</v>
      </c>
      <c r="K74" s="19">
        <f>=SUM(C74:J74)</f>
      </c>
      <c r="M74" s="12" t="s">
        <v>20</v>
      </c>
      <c r="N74" s="12" t="s">
        <v>20</v>
      </c>
      <c r="O74" s="12" t="s">
        <v>20</v>
      </c>
      <c r="P74" s="12" t="s">
        <v>20</v>
      </c>
      <c r="Q74" s="12" t="s">
        <v>20</v>
      </c>
      <c r="R74" s="12" t="s">
        <v>20</v>
      </c>
      <c r="S74" s="12" t="s">
        <v>20</v>
      </c>
      <c r="T74" s="12" t="s">
        <v>20</v>
      </c>
      <c r="U74" s="19">
        <f>=SUM(M74:T74)</f>
      </c>
      <c r="W74" s="12" t="s">
        <v>20</v>
      </c>
      <c r="X74" s="12" t="s">
        <v>20</v>
      </c>
      <c r="Y74" s="12" t="s">
        <v>20</v>
      </c>
      <c r="Z74" s="12" t="s">
        <v>20</v>
      </c>
      <c r="AA74" s="12" t="s">
        <v>20</v>
      </c>
      <c r="AB74" s="12" t="s">
        <v>20</v>
      </c>
      <c r="AC74" s="12" t="s">
        <v>20</v>
      </c>
      <c r="AD74" s="12" t="s">
        <v>20</v>
      </c>
      <c r="AE74" s="19">
        <f>(U74/K74)*100</f>
      </c>
    </row>
    <row r="75">
      <c r="A75" s="43" t="s">
        <v>173</v>
      </c>
      <c r="B75" s="12" t="s">
        <v>174</v>
      </c>
      <c r="C75" s="13">
        <v>12</v>
      </c>
      <c r="D75" s="13">
        <v>9</v>
      </c>
      <c r="E75" s="13">
        <v>13</v>
      </c>
      <c r="F75" s="13">
        <v>9</v>
      </c>
      <c r="G75" s="13">
        <v>12</v>
      </c>
      <c r="H75" s="13">
        <v>12</v>
      </c>
      <c r="I75" s="13">
        <v>2</v>
      </c>
      <c r="J75" s="13">
        <v>3</v>
      </c>
      <c r="K75" s="19">
        <f>=SUM(C75:J75)</f>
      </c>
      <c r="M75" s="12" t="s">
        <v>20</v>
      </c>
      <c r="N75" s="12" t="s">
        <v>20</v>
      </c>
      <c r="O75" s="12" t="s">
        <v>20</v>
      </c>
      <c r="P75" s="12" t="s">
        <v>20</v>
      </c>
      <c r="Q75" s="12" t="s">
        <v>20</v>
      </c>
      <c r="R75" s="12" t="s">
        <v>20</v>
      </c>
      <c r="S75" s="12" t="s">
        <v>20</v>
      </c>
      <c r="T75" s="12" t="s">
        <v>20</v>
      </c>
      <c r="U75" s="19">
        <f>=SUM(M75:T75)</f>
      </c>
      <c r="W75" s="12" t="s">
        <v>20</v>
      </c>
      <c r="X75" s="12" t="s">
        <v>20</v>
      </c>
      <c r="Y75" s="12" t="s">
        <v>20</v>
      </c>
      <c r="Z75" s="12" t="s">
        <v>20</v>
      </c>
      <c r="AA75" s="12" t="s">
        <v>20</v>
      </c>
      <c r="AB75" s="12" t="s">
        <v>20</v>
      </c>
      <c r="AC75" s="12" t="s">
        <v>20</v>
      </c>
      <c r="AD75" s="12" t="s">
        <v>20</v>
      </c>
      <c r="AE75" s="19">
        <f>(U75/K75)*100</f>
      </c>
    </row>
    <row r="76">
      <c r="A76" s="43" t="s">
        <v>175</v>
      </c>
      <c r="B76" s="12" t="s">
        <v>176</v>
      </c>
      <c r="C76" s="13">
        <v>1</v>
      </c>
      <c r="D76" s="13">
        <v>1</v>
      </c>
      <c r="E76" s="12" t="s">
        <v>20</v>
      </c>
      <c r="F76" s="13">
        <v>1</v>
      </c>
      <c r="G76" s="13">
        <v>1</v>
      </c>
      <c r="H76" s="12" t="s">
        <v>20</v>
      </c>
      <c r="I76" s="12" t="s">
        <v>20</v>
      </c>
      <c r="J76" s="12" t="s">
        <v>20</v>
      </c>
      <c r="K76" s="19">
        <f>=SUM(C76:J76)</f>
      </c>
      <c r="M76" s="12" t="s">
        <v>20</v>
      </c>
      <c r="N76" s="12" t="s">
        <v>20</v>
      </c>
      <c r="O76" s="12" t="s">
        <v>20</v>
      </c>
      <c r="P76" s="12" t="s">
        <v>20</v>
      </c>
      <c r="Q76" s="12" t="s">
        <v>20</v>
      </c>
      <c r="R76" s="12" t="s">
        <v>20</v>
      </c>
      <c r="S76" s="12" t="s">
        <v>20</v>
      </c>
      <c r="T76" s="12" t="s">
        <v>20</v>
      </c>
      <c r="U76" s="19">
        <f>=SUM(M76:T76)</f>
      </c>
      <c r="W76" s="12" t="s">
        <v>20</v>
      </c>
      <c r="X76" s="12" t="s">
        <v>20</v>
      </c>
      <c r="Y76" s="12" t="s">
        <v>20</v>
      </c>
      <c r="Z76" s="12" t="s">
        <v>20</v>
      </c>
      <c r="AA76" s="12" t="s">
        <v>20</v>
      </c>
      <c r="AB76" s="12" t="s">
        <v>20</v>
      </c>
      <c r="AC76" s="12" t="s">
        <v>20</v>
      </c>
      <c r="AD76" s="12" t="s">
        <v>20</v>
      </c>
      <c r="AE76" s="19">
        <f>(U76/K76)*100</f>
      </c>
    </row>
    <row r="77">
      <c r="A77" s="43" t="s">
        <v>177</v>
      </c>
      <c r="B77" s="12" t="s">
        <v>178</v>
      </c>
      <c r="C77" s="12" t="s">
        <v>20</v>
      </c>
      <c r="D77" s="12" t="s">
        <v>20</v>
      </c>
      <c r="E77" s="12" t="s">
        <v>20</v>
      </c>
      <c r="F77" s="12" t="s">
        <v>20</v>
      </c>
      <c r="G77" s="12" t="s">
        <v>20</v>
      </c>
      <c r="H77" s="12" t="s">
        <v>20</v>
      </c>
      <c r="I77" s="12" t="s">
        <v>20</v>
      </c>
      <c r="J77" s="12" t="s">
        <v>20</v>
      </c>
      <c r="K77" s="19">
        <f>=SUM(C77:J77)</f>
      </c>
      <c r="M77" s="12" t="s">
        <v>20</v>
      </c>
      <c r="N77" s="12" t="s">
        <v>20</v>
      </c>
      <c r="O77" s="12" t="s">
        <v>20</v>
      </c>
      <c r="P77" s="12" t="s">
        <v>20</v>
      </c>
      <c r="Q77" s="12" t="s">
        <v>20</v>
      </c>
      <c r="R77" s="12" t="s">
        <v>20</v>
      </c>
      <c r="S77" s="12" t="s">
        <v>20</v>
      </c>
      <c r="T77" s="12" t="s">
        <v>20</v>
      </c>
      <c r="U77" s="19">
        <f>=SUM(M77:T77)</f>
      </c>
      <c r="W77" s="12" t="s">
        <v>20</v>
      </c>
      <c r="X77" s="12" t="s">
        <v>20</v>
      </c>
      <c r="Y77" s="12" t="s">
        <v>20</v>
      </c>
      <c r="Z77" s="12" t="s">
        <v>20</v>
      </c>
      <c r="AA77" s="12" t="s">
        <v>20</v>
      </c>
      <c r="AB77" s="12" t="s">
        <v>20</v>
      </c>
      <c r="AC77" s="12" t="s">
        <v>20</v>
      </c>
      <c r="AD77" s="12" t="s">
        <v>20</v>
      </c>
      <c r="AE77" s="19">
        <f>(U77/K77)*100</f>
      </c>
    </row>
    <row r="78">
      <c r="A78" s="43" t="s">
        <v>179</v>
      </c>
      <c r="B78" s="12" t="s">
        <v>180</v>
      </c>
      <c r="C78" s="13">
        <v>58</v>
      </c>
      <c r="D78" s="13">
        <v>64</v>
      </c>
      <c r="E78" s="13">
        <v>56</v>
      </c>
      <c r="F78" s="13">
        <v>52</v>
      </c>
      <c r="G78" s="13">
        <v>57</v>
      </c>
      <c r="H78" s="13">
        <v>61</v>
      </c>
      <c r="I78" s="13">
        <v>9</v>
      </c>
      <c r="J78" s="13">
        <v>3</v>
      </c>
      <c r="K78" s="19">
        <f>=SUM(C78:J78)</f>
      </c>
      <c r="M78" s="12" t="s">
        <v>20</v>
      </c>
      <c r="N78" s="12" t="s">
        <v>20</v>
      </c>
      <c r="O78" s="12" t="s">
        <v>20</v>
      </c>
      <c r="P78" s="12" t="s">
        <v>20</v>
      </c>
      <c r="Q78" s="12" t="s">
        <v>20</v>
      </c>
      <c r="R78" s="13">
        <v>2</v>
      </c>
      <c r="S78" s="13">
        <v>1</v>
      </c>
      <c r="T78" s="12" t="s">
        <v>20</v>
      </c>
      <c r="U78" s="19">
        <f>=SUM(M78:T78)</f>
      </c>
      <c r="W78" s="12" t="s">
        <v>20</v>
      </c>
      <c r="X78" s="12" t="s">
        <v>20</v>
      </c>
      <c r="Y78" s="12" t="s">
        <v>20</v>
      </c>
      <c r="Z78" s="12" t="s">
        <v>20</v>
      </c>
      <c r="AA78" s="12" t="s">
        <v>20</v>
      </c>
      <c r="AB78" s="12">
        <v>3</v>
      </c>
      <c r="AC78" s="12">
        <v>11</v>
      </c>
      <c r="AD78" s="12" t="s">
        <v>20</v>
      </c>
      <c r="AE78" s="19">
        <f>(U78/K78)*100</f>
      </c>
    </row>
    <row r="79">
      <c r="A79" s="43" t="s">
        <v>181</v>
      </c>
      <c r="B79" s="12" t="s">
        <v>182</v>
      </c>
      <c r="C79" s="12" t="s">
        <v>20</v>
      </c>
      <c r="D79" s="12" t="s">
        <v>20</v>
      </c>
      <c r="E79" s="12" t="s">
        <v>20</v>
      </c>
      <c r="F79" s="13">
        <v>1</v>
      </c>
      <c r="G79" s="12" t="s">
        <v>20</v>
      </c>
      <c r="H79" s="12" t="s">
        <v>20</v>
      </c>
      <c r="I79" s="12" t="s">
        <v>20</v>
      </c>
      <c r="J79" s="12" t="s">
        <v>20</v>
      </c>
      <c r="K79" s="19">
        <f>=SUM(C79:J79)</f>
      </c>
      <c r="M79" s="12" t="s">
        <v>20</v>
      </c>
      <c r="N79" s="12" t="s">
        <v>20</v>
      </c>
      <c r="O79" s="12" t="s">
        <v>20</v>
      </c>
      <c r="P79" s="12" t="s">
        <v>20</v>
      </c>
      <c r="Q79" s="12" t="s">
        <v>20</v>
      </c>
      <c r="R79" s="12" t="s">
        <v>20</v>
      </c>
      <c r="S79" s="12" t="s">
        <v>20</v>
      </c>
      <c r="T79" s="12" t="s">
        <v>20</v>
      </c>
      <c r="U79" s="19">
        <f>=SUM(M79:T79)</f>
      </c>
      <c r="W79" s="12" t="s">
        <v>20</v>
      </c>
      <c r="X79" s="12" t="s">
        <v>20</v>
      </c>
      <c r="Y79" s="12" t="s">
        <v>20</v>
      </c>
      <c r="Z79" s="12" t="s">
        <v>20</v>
      </c>
      <c r="AA79" s="12" t="s">
        <v>20</v>
      </c>
      <c r="AB79" s="12" t="s">
        <v>20</v>
      </c>
      <c r="AC79" s="12" t="s">
        <v>20</v>
      </c>
      <c r="AD79" s="12" t="s">
        <v>20</v>
      </c>
      <c r="AE79" s="19">
        <f>(U79/K79)*100</f>
      </c>
    </row>
    <row r="80">
      <c r="A80" s="43" t="s">
        <v>183</v>
      </c>
      <c r="B80" s="12" t="s">
        <v>184</v>
      </c>
      <c r="C80" s="13">
        <v>2</v>
      </c>
      <c r="D80" s="13">
        <v>2</v>
      </c>
      <c r="E80" s="13">
        <v>2</v>
      </c>
      <c r="F80" s="13">
        <v>5</v>
      </c>
      <c r="G80" s="13">
        <v>4</v>
      </c>
      <c r="H80" s="13">
        <v>5</v>
      </c>
      <c r="I80" s="13">
        <v>4</v>
      </c>
      <c r="J80" s="13">
        <v>1</v>
      </c>
      <c r="K80" s="19">
        <f>=SUM(C80:J80)</f>
      </c>
      <c r="M80" s="12" t="s">
        <v>20</v>
      </c>
      <c r="N80" s="12" t="s">
        <v>20</v>
      </c>
      <c r="O80" s="12" t="s">
        <v>20</v>
      </c>
      <c r="P80" s="12" t="s">
        <v>20</v>
      </c>
      <c r="Q80" s="13">
        <v>1</v>
      </c>
      <c r="R80" s="12" t="s">
        <v>20</v>
      </c>
      <c r="S80" s="12" t="s">
        <v>20</v>
      </c>
      <c r="T80" s="13">
        <v>1</v>
      </c>
      <c r="U80" s="19">
        <f>=SUM(M80:T80)</f>
      </c>
      <c r="W80" s="12" t="s">
        <v>20</v>
      </c>
      <c r="X80" s="12" t="s">
        <v>20</v>
      </c>
      <c r="Y80" s="12" t="s">
        <v>20</v>
      </c>
      <c r="Z80" s="12" t="s">
        <v>20</v>
      </c>
      <c r="AA80" s="12">
        <v>25</v>
      </c>
      <c r="AB80" s="12" t="s">
        <v>20</v>
      </c>
      <c r="AC80" s="12" t="s">
        <v>20</v>
      </c>
      <c r="AD80" s="12">
        <v>100</v>
      </c>
      <c r="AE80" s="19">
        <f>(U80/K80)*100</f>
      </c>
    </row>
    <row r="81">
      <c r="A81" s="43" t="s">
        <v>185</v>
      </c>
      <c r="B81" s="12" t="s">
        <v>186</v>
      </c>
      <c r="C81" s="13">
        <v>1</v>
      </c>
      <c r="D81" s="13">
        <v>1</v>
      </c>
      <c r="E81" s="13">
        <v>1</v>
      </c>
      <c r="F81" s="13">
        <v>1</v>
      </c>
      <c r="G81" s="13">
        <v>1</v>
      </c>
      <c r="H81" s="12" t="s">
        <v>20</v>
      </c>
      <c r="I81" s="12" t="s">
        <v>20</v>
      </c>
      <c r="J81" s="12" t="s">
        <v>20</v>
      </c>
      <c r="K81" s="19">
        <f>=SUM(C81:J81)</f>
      </c>
      <c r="M81" s="12" t="s">
        <v>20</v>
      </c>
      <c r="N81" s="12" t="s">
        <v>20</v>
      </c>
      <c r="O81" s="12" t="s">
        <v>20</v>
      </c>
      <c r="P81" s="12" t="s">
        <v>20</v>
      </c>
      <c r="Q81" s="12" t="s">
        <v>20</v>
      </c>
      <c r="R81" s="12" t="s">
        <v>20</v>
      </c>
      <c r="S81" s="12" t="s">
        <v>20</v>
      </c>
      <c r="T81" s="12" t="s">
        <v>20</v>
      </c>
      <c r="U81" s="19">
        <f>=SUM(M81:T81)</f>
      </c>
      <c r="W81" s="12" t="s">
        <v>20</v>
      </c>
      <c r="X81" s="12" t="s">
        <v>20</v>
      </c>
      <c r="Y81" s="12" t="s">
        <v>20</v>
      </c>
      <c r="Z81" s="12" t="s">
        <v>20</v>
      </c>
      <c r="AA81" s="12" t="s">
        <v>20</v>
      </c>
      <c r="AB81" s="12" t="s">
        <v>20</v>
      </c>
      <c r="AC81" s="12" t="s">
        <v>20</v>
      </c>
      <c r="AD81" s="12" t="s">
        <v>20</v>
      </c>
      <c r="AE81" s="19">
        <f>(U81/K81)*100</f>
      </c>
    </row>
    <row r="82">
      <c r="A82" s="43" t="s">
        <v>187</v>
      </c>
      <c r="B82" s="12" t="s">
        <v>188</v>
      </c>
      <c r="C82" s="12" t="s">
        <v>20</v>
      </c>
      <c r="D82" s="12" t="s">
        <v>20</v>
      </c>
      <c r="E82" s="12" t="s">
        <v>20</v>
      </c>
      <c r="F82" s="12" t="s">
        <v>20</v>
      </c>
      <c r="G82" s="12" t="s">
        <v>20</v>
      </c>
      <c r="H82" s="12" t="s">
        <v>20</v>
      </c>
      <c r="I82" s="12" t="s">
        <v>20</v>
      </c>
      <c r="J82" s="12" t="s">
        <v>20</v>
      </c>
      <c r="K82" s="19">
        <f>=SUM(C82:J82)</f>
      </c>
      <c r="M82" s="12" t="s">
        <v>20</v>
      </c>
      <c r="N82" s="12" t="s">
        <v>20</v>
      </c>
      <c r="O82" s="12" t="s">
        <v>20</v>
      </c>
      <c r="P82" s="12" t="s">
        <v>20</v>
      </c>
      <c r="Q82" s="12" t="s">
        <v>20</v>
      </c>
      <c r="R82" s="12" t="s">
        <v>20</v>
      </c>
      <c r="S82" s="12" t="s">
        <v>20</v>
      </c>
      <c r="T82" s="12" t="s">
        <v>20</v>
      </c>
      <c r="U82" s="19">
        <f>=SUM(M82:T82)</f>
      </c>
      <c r="W82" s="12" t="s">
        <v>20</v>
      </c>
      <c r="X82" s="12" t="s">
        <v>20</v>
      </c>
      <c r="Y82" s="12" t="s">
        <v>20</v>
      </c>
      <c r="Z82" s="12" t="s">
        <v>20</v>
      </c>
      <c r="AA82" s="12" t="s">
        <v>20</v>
      </c>
      <c r="AB82" s="12" t="s">
        <v>20</v>
      </c>
      <c r="AC82" s="12" t="s">
        <v>20</v>
      </c>
      <c r="AD82" s="12" t="s">
        <v>20</v>
      </c>
      <c r="AE82" s="19">
        <f>(U82/K82)*100</f>
      </c>
    </row>
    <row r="83">
      <c r="A83" s="43" t="s">
        <v>189</v>
      </c>
      <c r="B83" s="12" t="s">
        <v>190</v>
      </c>
      <c r="C83" s="12" t="s">
        <v>20</v>
      </c>
      <c r="D83" s="12" t="s">
        <v>20</v>
      </c>
      <c r="E83" s="12" t="s">
        <v>20</v>
      </c>
      <c r="F83" s="12" t="s">
        <v>20</v>
      </c>
      <c r="G83" s="12" t="s">
        <v>20</v>
      </c>
      <c r="H83" s="12" t="s">
        <v>20</v>
      </c>
      <c r="I83" s="12" t="s">
        <v>20</v>
      </c>
      <c r="J83" s="12" t="s">
        <v>20</v>
      </c>
      <c r="K83" s="19">
        <f>=SUM(C83:J83)</f>
      </c>
      <c r="M83" s="12" t="s">
        <v>20</v>
      </c>
      <c r="N83" s="12" t="s">
        <v>20</v>
      </c>
      <c r="O83" s="12" t="s">
        <v>20</v>
      </c>
      <c r="P83" s="12" t="s">
        <v>20</v>
      </c>
      <c r="Q83" s="12" t="s">
        <v>20</v>
      </c>
      <c r="R83" s="12" t="s">
        <v>20</v>
      </c>
      <c r="S83" s="12" t="s">
        <v>20</v>
      </c>
      <c r="T83" s="12" t="s">
        <v>20</v>
      </c>
      <c r="U83" s="19">
        <f>=SUM(M83:T83)</f>
      </c>
      <c r="W83" s="12" t="s">
        <v>20</v>
      </c>
      <c r="X83" s="12" t="s">
        <v>20</v>
      </c>
      <c r="Y83" s="12" t="s">
        <v>20</v>
      </c>
      <c r="Z83" s="12" t="s">
        <v>20</v>
      </c>
      <c r="AA83" s="12" t="s">
        <v>20</v>
      </c>
      <c r="AB83" s="12" t="s">
        <v>20</v>
      </c>
      <c r="AC83" s="12" t="s">
        <v>20</v>
      </c>
      <c r="AD83" s="12" t="s">
        <v>20</v>
      </c>
      <c r="AE83" s="19">
        <f>(U83/K83)*100</f>
      </c>
    </row>
    <row r="84">
      <c r="A84" s="43" t="s">
        <v>191</v>
      </c>
      <c r="B84" s="12" t="s">
        <v>192</v>
      </c>
      <c r="C84" s="12" t="s">
        <v>20</v>
      </c>
      <c r="D84" s="12" t="s">
        <v>20</v>
      </c>
      <c r="E84" s="12" t="s">
        <v>20</v>
      </c>
      <c r="F84" s="13">
        <v>1</v>
      </c>
      <c r="G84" s="12" t="s">
        <v>20</v>
      </c>
      <c r="H84" s="12" t="s">
        <v>20</v>
      </c>
      <c r="I84" s="12" t="s">
        <v>20</v>
      </c>
      <c r="J84" s="12" t="s">
        <v>20</v>
      </c>
      <c r="K84" s="19">
        <f>=SUM(C84:J84)</f>
      </c>
      <c r="M84" s="12" t="s">
        <v>20</v>
      </c>
      <c r="N84" s="12" t="s">
        <v>20</v>
      </c>
      <c r="O84" s="12" t="s">
        <v>20</v>
      </c>
      <c r="P84" s="12" t="s">
        <v>20</v>
      </c>
      <c r="Q84" s="12" t="s">
        <v>20</v>
      </c>
      <c r="R84" s="12" t="s">
        <v>20</v>
      </c>
      <c r="S84" s="12" t="s">
        <v>20</v>
      </c>
      <c r="T84" s="12" t="s">
        <v>20</v>
      </c>
      <c r="U84" s="19">
        <f>=SUM(M84:T84)</f>
      </c>
      <c r="W84" s="12" t="s">
        <v>20</v>
      </c>
      <c r="X84" s="12" t="s">
        <v>20</v>
      </c>
      <c r="Y84" s="12" t="s">
        <v>20</v>
      </c>
      <c r="Z84" s="12" t="s">
        <v>20</v>
      </c>
      <c r="AA84" s="12" t="s">
        <v>20</v>
      </c>
      <c r="AB84" s="12" t="s">
        <v>20</v>
      </c>
      <c r="AC84" s="12" t="s">
        <v>20</v>
      </c>
      <c r="AD84" s="12" t="s">
        <v>20</v>
      </c>
      <c r="AE84" s="19">
        <f>(U84/K84)*100</f>
      </c>
    </row>
    <row r="85">
      <c r="A85" s="43" t="s">
        <v>193</v>
      </c>
      <c r="B85" s="12" t="s">
        <v>194</v>
      </c>
      <c r="C85" s="12" t="s">
        <v>20</v>
      </c>
      <c r="D85" s="12" t="s">
        <v>20</v>
      </c>
      <c r="E85" s="12" t="s">
        <v>20</v>
      </c>
      <c r="F85" s="12" t="s">
        <v>20</v>
      </c>
      <c r="G85" s="12" t="s">
        <v>20</v>
      </c>
      <c r="H85" s="12" t="s">
        <v>20</v>
      </c>
      <c r="I85" s="12" t="s">
        <v>20</v>
      </c>
      <c r="J85" s="12" t="s">
        <v>20</v>
      </c>
      <c r="K85" s="19">
        <f>=SUM(C85:J85)</f>
      </c>
      <c r="M85" s="12" t="s">
        <v>20</v>
      </c>
      <c r="N85" s="12" t="s">
        <v>20</v>
      </c>
      <c r="O85" s="12" t="s">
        <v>20</v>
      </c>
      <c r="P85" s="12" t="s">
        <v>20</v>
      </c>
      <c r="Q85" s="12" t="s">
        <v>20</v>
      </c>
      <c r="R85" s="12" t="s">
        <v>20</v>
      </c>
      <c r="S85" s="12" t="s">
        <v>20</v>
      </c>
      <c r="T85" s="12" t="s">
        <v>20</v>
      </c>
      <c r="U85" s="19">
        <f>=SUM(M85:T85)</f>
      </c>
      <c r="W85" s="12" t="s">
        <v>20</v>
      </c>
      <c r="X85" s="12" t="s">
        <v>20</v>
      </c>
      <c r="Y85" s="12" t="s">
        <v>20</v>
      </c>
      <c r="Z85" s="12" t="s">
        <v>20</v>
      </c>
      <c r="AA85" s="12" t="s">
        <v>20</v>
      </c>
      <c r="AB85" s="12" t="s">
        <v>20</v>
      </c>
      <c r="AC85" s="12" t="s">
        <v>20</v>
      </c>
      <c r="AD85" s="12" t="s">
        <v>20</v>
      </c>
      <c r="AE85" s="19">
        <f>(U85/K85)*100</f>
      </c>
    </row>
    <row r="86">
      <c r="A86" s="43" t="s">
        <v>195</v>
      </c>
      <c r="B86" s="12" t="s">
        <v>196</v>
      </c>
      <c r="C86" s="12" t="s">
        <v>20</v>
      </c>
      <c r="D86" s="12" t="s">
        <v>20</v>
      </c>
      <c r="E86" s="12" t="s">
        <v>20</v>
      </c>
      <c r="F86" s="12" t="s">
        <v>20</v>
      </c>
      <c r="G86" s="12" t="s">
        <v>20</v>
      </c>
      <c r="H86" s="12" t="s">
        <v>20</v>
      </c>
      <c r="I86" s="12" t="s">
        <v>20</v>
      </c>
      <c r="J86" s="12" t="s">
        <v>20</v>
      </c>
      <c r="K86" s="19">
        <f>=SUM(C86:J86)</f>
      </c>
      <c r="M86" s="12" t="s">
        <v>20</v>
      </c>
      <c r="N86" s="12" t="s">
        <v>20</v>
      </c>
      <c r="O86" s="12" t="s">
        <v>20</v>
      </c>
      <c r="P86" s="12" t="s">
        <v>20</v>
      </c>
      <c r="Q86" s="12" t="s">
        <v>20</v>
      </c>
      <c r="R86" s="12" t="s">
        <v>20</v>
      </c>
      <c r="S86" s="12" t="s">
        <v>20</v>
      </c>
      <c r="T86" s="12" t="s">
        <v>20</v>
      </c>
      <c r="U86" s="19">
        <f>=SUM(M86:T86)</f>
      </c>
      <c r="W86" s="12" t="s">
        <v>20</v>
      </c>
      <c r="X86" s="12" t="s">
        <v>20</v>
      </c>
      <c r="Y86" s="12" t="s">
        <v>20</v>
      </c>
      <c r="Z86" s="12" t="s">
        <v>20</v>
      </c>
      <c r="AA86" s="12" t="s">
        <v>20</v>
      </c>
      <c r="AB86" s="12" t="s">
        <v>20</v>
      </c>
      <c r="AC86" s="12" t="s">
        <v>20</v>
      </c>
      <c r="AD86" s="12" t="s">
        <v>20</v>
      </c>
      <c r="AE86" s="19">
        <f>(U86/K86)*100</f>
      </c>
    </row>
    <row r="87">
      <c r="A87" s="43" t="s">
        <v>197</v>
      </c>
      <c r="B87" s="12" t="s">
        <v>198</v>
      </c>
      <c r="C87" s="12" t="s">
        <v>20</v>
      </c>
      <c r="D87" s="12" t="s">
        <v>20</v>
      </c>
      <c r="E87" s="12" t="s">
        <v>20</v>
      </c>
      <c r="F87" s="12" t="s">
        <v>20</v>
      </c>
      <c r="G87" s="12" t="s">
        <v>20</v>
      </c>
      <c r="H87" s="12" t="s">
        <v>20</v>
      </c>
      <c r="I87" s="12" t="s">
        <v>20</v>
      </c>
      <c r="J87" s="12" t="s">
        <v>20</v>
      </c>
      <c r="K87" s="19">
        <f>=SUM(C87:J87)</f>
      </c>
      <c r="M87" s="12" t="s">
        <v>20</v>
      </c>
      <c r="N87" s="12" t="s">
        <v>20</v>
      </c>
      <c r="O87" s="12" t="s">
        <v>20</v>
      </c>
      <c r="P87" s="12" t="s">
        <v>20</v>
      </c>
      <c r="Q87" s="12" t="s">
        <v>20</v>
      </c>
      <c r="R87" s="12" t="s">
        <v>20</v>
      </c>
      <c r="S87" s="12" t="s">
        <v>20</v>
      </c>
      <c r="T87" s="12" t="s">
        <v>20</v>
      </c>
      <c r="U87" s="19">
        <f>=SUM(M87:T87)</f>
      </c>
      <c r="W87" s="12" t="s">
        <v>20</v>
      </c>
      <c r="X87" s="12" t="s">
        <v>20</v>
      </c>
      <c r="Y87" s="12" t="s">
        <v>20</v>
      </c>
      <c r="Z87" s="12" t="s">
        <v>20</v>
      </c>
      <c r="AA87" s="12" t="s">
        <v>20</v>
      </c>
      <c r="AB87" s="12" t="s">
        <v>20</v>
      </c>
      <c r="AC87" s="12" t="s">
        <v>20</v>
      </c>
      <c r="AD87" s="12" t="s">
        <v>20</v>
      </c>
      <c r="AE87" s="19">
        <f>(U87/K87)*100</f>
      </c>
    </row>
    <row r="88">
      <c r="A88" s="43" t="s">
        <v>199</v>
      </c>
      <c r="B88" s="12" t="s">
        <v>200</v>
      </c>
      <c r="C88" s="12" t="s">
        <v>20</v>
      </c>
      <c r="D88" s="13">
        <v>1</v>
      </c>
      <c r="E88" s="13">
        <v>1</v>
      </c>
      <c r="F88" s="12" t="s">
        <v>20</v>
      </c>
      <c r="G88" s="12" t="s">
        <v>20</v>
      </c>
      <c r="H88" s="12" t="s">
        <v>20</v>
      </c>
      <c r="I88" s="12" t="s">
        <v>20</v>
      </c>
      <c r="J88" s="12" t="s">
        <v>20</v>
      </c>
      <c r="K88" s="19">
        <f>=SUM(C88:J88)</f>
      </c>
      <c r="M88" s="12" t="s">
        <v>20</v>
      </c>
      <c r="N88" s="12" t="s">
        <v>20</v>
      </c>
      <c r="O88" s="12" t="s">
        <v>20</v>
      </c>
      <c r="P88" s="12" t="s">
        <v>20</v>
      </c>
      <c r="Q88" s="12" t="s">
        <v>20</v>
      </c>
      <c r="R88" s="12" t="s">
        <v>20</v>
      </c>
      <c r="S88" s="12" t="s">
        <v>20</v>
      </c>
      <c r="T88" s="12" t="s">
        <v>20</v>
      </c>
      <c r="U88" s="19">
        <f>=SUM(M88:T88)</f>
      </c>
      <c r="W88" s="12" t="s">
        <v>20</v>
      </c>
      <c r="X88" s="12" t="s">
        <v>20</v>
      </c>
      <c r="Y88" s="12" t="s">
        <v>20</v>
      </c>
      <c r="Z88" s="12" t="s">
        <v>20</v>
      </c>
      <c r="AA88" s="12" t="s">
        <v>20</v>
      </c>
      <c r="AB88" s="12" t="s">
        <v>20</v>
      </c>
      <c r="AC88" s="12" t="s">
        <v>20</v>
      </c>
      <c r="AD88" s="12" t="s">
        <v>20</v>
      </c>
      <c r="AE88" s="19">
        <f>(U88/K88)*100</f>
      </c>
    </row>
    <row r="89">
      <c r="A89" s="43" t="s">
        <v>201</v>
      </c>
      <c r="B89" s="12" t="s">
        <v>202</v>
      </c>
      <c r="C89" s="12" t="s">
        <v>20</v>
      </c>
      <c r="D89" s="12" t="s">
        <v>20</v>
      </c>
      <c r="E89" s="12" t="s">
        <v>20</v>
      </c>
      <c r="F89" s="12" t="s">
        <v>20</v>
      </c>
      <c r="G89" s="12" t="s">
        <v>20</v>
      </c>
      <c r="H89" s="12" t="s">
        <v>20</v>
      </c>
      <c r="I89" s="12" t="s">
        <v>20</v>
      </c>
      <c r="J89" s="12" t="s">
        <v>20</v>
      </c>
      <c r="K89" s="19">
        <f>=SUM(C89:J89)</f>
      </c>
      <c r="M89" s="12" t="s">
        <v>20</v>
      </c>
      <c r="N89" s="12" t="s">
        <v>20</v>
      </c>
      <c r="O89" s="12" t="s">
        <v>20</v>
      </c>
      <c r="P89" s="12" t="s">
        <v>20</v>
      </c>
      <c r="Q89" s="12" t="s">
        <v>20</v>
      </c>
      <c r="R89" s="12" t="s">
        <v>20</v>
      </c>
      <c r="S89" s="12" t="s">
        <v>20</v>
      </c>
      <c r="T89" s="12" t="s">
        <v>20</v>
      </c>
      <c r="U89" s="19">
        <f>=SUM(M89:T89)</f>
      </c>
      <c r="W89" s="12" t="s">
        <v>20</v>
      </c>
      <c r="X89" s="12" t="s">
        <v>20</v>
      </c>
      <c r="Y89" s="12" t="s">
        <v>20</v>
      </c>
      <c r="Z89" s="12" t="s">
        <v>20</v>
      </c>
      <c r="AA89" s="12" t="s">
        <v>20</v>
      </c>
      <c r="AB89" s="12" t="s">
        <v>20</v>
      </c>
      <c r="AC89" s="12" t="s">
        <v>20</v>
      </c>
      <c r="AD89" s="12" t="s">
        <v>20</v>
      </c>
      <c r="AE89" s="19">
        <f>(U89/K89)*100</f>
      </c>
    </row>
    <row r="90">
      <c r="A90" s="43" t="s">
        <v>203</v>
      </c>
      <c r="B90" s="12" t="s">
        <v>204</v>
      </c>
      <c r="C90" s="13">
        <v>20</v>
      </c>
      <c r="D90" s="13">
        <v>15</v>
      </c>
      <c r="E90" s="13">
        <v>18</v>
      </c>
      <c r="F90" s="13">
        <v>16</v>
      </c>
      <c r="G90" s="13">
        <v>14</v>
      </c>
      <c r="H90" s="13">
        <v>19</v>
      </c>
      <c r="I90" s="13">
        <v>15</v>
      </c>
      <c r="J90" s="13">
        <v>5</v>
      </c>
      <c r="K90" s="19">
        <f>=SUM(C90:J90)</f>
      </c>
      <c r="M90" s="13">
        <v>1</v>
      </c>
      <c r="N90" s="13">
        <v>1</v>
      </c>
      <c r="O90" s="13">
        <v>2</v>
      </c>
      <c r="P90" s="13">
        <v>1</v>
      </c>
      <c r="Q90" s="13">
        <v>1</v>
      </c>
      <c r="R90" s="12" t="s">
        <v>20</v>
      </c>
      <c r="S90" s="13">
        <v>2</v>
      </c>
      <c r="T90" s="13">
        <v>1</v>
      </c>
      <c r="U90" s="19">
        <f>=SUM(M90:T90)</f>
      </c>
      <c r="W90" s="12">
        <v>5</v>
      </c>
      <c r="X90" s="12">
        <v>7</v>
      </c>
      <c r="Y90" s="12">
        <v>11</v>
      </c>
      <c r="Z90" s="12">
        <v>6</v>
      </c>
      <c r="AA90" s="12">
        <v>7</v>
      </c>
      <c r="AB90" s="12" t="s">
        <v>20</v>
      </c>
      <c r="AC90" s="12">
        <v>13</v>
      </c>
      <c r="AD90" s="12">
        <v>20</v>
      </c>
      <c r="AE90" s="19">
        <f>(U90/K90)*100</f>
      </c>
    </row>
    <row r="91">
      <c r="A91" s="43" t="s">
        <v>205</v>
      </c>
      <c r="B91" s="12" t="s">
        <v>206</v>
      </c>
      <c r="C91" s="13">
        <v>10</v>
      </c>
      <c r="D91" s="13">
        <v>13</v>
      </c>
      <c r="E91" s="13">
        <v>10</v>
      </c>
      <c r="F91" s="13">
        <v>11</v>
      </c>
      <c r="G91" s="13">
        <v>8</v>
      </c>
      <c r="H91" s="13">
        <v>7</v>
      </c>
      <c r="I91" s="13">
        <v>6</v>
      </c>
      <c r="J91" s="13">
        <v>1</v>
      </c>
      <c r="K91" s="19">
        <f>=SUM(C91:J91)</f>
      </c>
      <c r="M91" s="13">
        <v>1</v>
      </c>
      <c r="N91" s="13">
        <v>1</v>
      </c>
      <c r="O91" s="12" t="s">
        <v>20</v>
      </c>
      <c r="P91" s="12" t="s">
        <v>20</v>
      </c>
      <c r="Q91" s="12" t="s">
        <v>20</v>
      </c>
      <c r="R91" s="13">
        <v>1</v>
      </c>
      <c r="S91" s="12" t="s">
        <v>20</v>
      </c>
      <c r="T91" s="12" t="s">
        <v>20</v>
      </c>
      <c r="U91" s="19">
        <f>=SUM(M91:T91)</f>
      </c>
      <c r="W91" s="12">
        <v>10</v>
      </c>
      <c r="X91" s="12">
        <v>8</v>
      </c>
      <c r="Y91" s="12" t="s">
        <v>20</v>
      </c>
      <c r="Z91" s="12" t="s">
        <v>20</v>
      </c>
      <c r="AA91" s="12" t="s">
        <v>20</v>
      </c>
      <c r="AB91" s="12">
        <v>14</v>
      </c>
      <c r="AC91" s="12" t="s">
        <v>20</v>
      </c>
      <c r="AD91" s="12" t="s">
        <v>20</v>
      </c>
      <c r="AE91" s="19">
        <f>(U91/K91)*100</f>
      </c>
    </row>
    <row r="92">
      <c r="A92" s="43" t="s">
        <v>207</v>
      </c>
      <c r="B92" s="12" t="s">
        <v>208</v>
      </c>
      <c r="C92" s="13">
        <v>5</v>
      </c>
      <c r="D92" s="13">
        <v>8</v>
      </c>
      <c r="E92" s="13">
        <v>8</v>
      </c>
      <c r="F92" s="13">
        <v>7</v>
      </c>
      <c r="G92" s="13">
        <v>9</v>
      </c>
      <c r="H92" s="13">
        <v>10</v>
      </c>
      <c r="I92" s="13">
        <v>4</v>
      </c>
      <c r="J92" s="13">
        <v>1</v>
      </c>
      <c r="K92" s="19">
        <f>=SUM(C92:J92)</f>
      </c>
      <c r="M92" s="12" t="s">
        <v>20</v>
      </c>
      <c r="N92" s="12" t="s">
        <v>20</v>
      </c>
      <c r="O92" s="12" t="s">
        <v>20</v>
      </c>
      <c r="P92" s="12" t="s">
        <v>20</v>
      </c>
      <c r="Q92" s="12" t="s">
        <v>20</v>
      </c>
      <c r="R92" s="12" t="s">
        <v>20</v>
      </c>
      <c r="S92" s="12" t="s">
        <v>20</v>
      </c>
      <c r="T92" s="12" t="s">
        <v>20</v>
      </c>
      <c r="U92" s="19">
        <f>=SUM(M92:T92)</f>
      </c>
      <c r="W92" s="12" t="s">
        <v>20</v>
      </c>
      <c r="X92" s="12" t="s">
        <v>20</v>
      </c>
      <c r="Y92" s="12" t="s">
        <v>20</v>
      </c>
      <c r="Z92" s="12" t="s">
        <v>20</v>
      </c>
      <c r="AA92" s="12" t="s">
        <v>20</v>
      </c>
      <c r="AB92" s="12" t="s">
        <v>20</v>
      </c>
      <c r="AC92" s="12" t="s">
        <v>20</v>
      </c>
      <c r="AD92" s="12" t="s">
        <v>20</v>
      </c>
      <c r="AE92" s="19">
        <f>(U92/K92)*100</f>
      </c>
    </row>
    <row r="93">
      <c r="A93" s="43" t="s">
        <v>209</v>
      </c>
      <c r="B93" s="12" t="s">
        <v>210</v>
      </c>
      <c r="C93" s="13">
        <v>20</v>
      </c>
      <c r="D93" s="13">
        <v>17</v>
      </c>
      <c r="E93" s="13">
        <v>20</v>
      </c>
      <c r="F93" s="13">
        <v>17</v>
      </c>
      <c r="G93" s="13">
        <v>16</v>
      </c>
      <c r="H93" s="13">
        <v>13</v>
      </c>
      <c r="I93" s="13">
        <v>14</v>
      </c>
      <c r="J93" s="12" t="s">
        <v>20</v>
      </c>
      <c r="K93" s="19">
        <f>=SUM(C93:J93)</f>
      </c>
      <c r="M93" s="13">
        <v>3</v>
      </c>
      <c r="N93" s="12" t="s">
        <v>20</v>
      </c>
      <c r="O93" s="12" t="s">
        <v>20</v>
      </c>
      <c r="P93" s="13">
        <v>1</v>
      </c>
      <c r="Q93" s="12" t="s">
        <v>20</v>
      </c>
      <c r="R93" s="12" t="s">
        <v>20</v>
      </c>
      <c r="S93" s="13">
        <v>3</v>
      </c>
      <c r="T93" s="12" t="s">
        <v>20</v>
      </c>
      <c r="U93" s="19">
        <f>=SUM(M93:T93)</f>
      </c>
      <c r="W93" s="12">
        <v>15</v>
      </c>
      <c r="X93" s="12" t="s">
        <v>20</v>
      </c>
      <c r="Y93" s="12" t="s">
        <v>20</v>
      </c>
      <c r="Z93" s="12">
        <v>6</v>
      </c>
      <c r="AA93" s="12" t="s">
        <v>20</v>
      </c>
      <c r="AB93" s="12" t="s">
        <v>20</v>
      </c>
      <c r="AC93" s="12">
        <v>21</v>
      </c>
      <c r="AD93" s="12" t="s">
        <v>20</v>
      </c>
      <c r="AE93" s="19">
        <f>(U93/K93)*100</f>
      </c>
    </row>
    <row r="94">
      <c r="A94" s="43" t="s">
        <v>211</v>
      </c>
      <c r="B94" s="12" t="s">
        <v>212</v>
      </c>
      <c r="C94" s="13">
        <v>112</v>
      </c>
      <c r="D94" s="13">
        <v>115</v>
      </c>
      <c r="E94" s="13">
        <v>111</v>
      </c>
      <c r="F94" s="13">
        <v>107</v>
      </c>
      <c r="G94" s="13">
        <v>105</v>
      </c>
      <c r="H94" s="13">
        <v>109</v>
      </c>
      <c r="I94" s="13">
        <v>67</v>
      </c>
      <c r="J94" s="13">
        <v>6</v>
      </c>
      <c r="K94" s="19">
        <f>=SUM(C94:J94)</f>
      </c>
      <c r="M94" s="13">
        <v>1</v>
      </c>
      <c r="N94" s="13">
        <v>2</v>
      </c>
      <c r="O94" s="13">
        <v>2</v>
      </c>
      <c r="P94" s="13">
        <v>11</v>
      </c>
      <c r="Q94" s="13">
        <v>9</v>
      </c>
      <c r="R94" s="13">
        <v>9</v>
      </c>
      <c r="S94" s="13">
        <v>3</v>
      </c>
      <c r="T94" s="12" t="s">
        <v>20</v>
      </c>
      <c r="U94" s="19">
        <f>=SUM(M94:T94)</f>
      </c>
      <c r="W94" s="12">
        <v>1</v>
      </c>
      <c r="X94" s="12">
        <v>2</v>
      </c>
      <c r="Y94" s="12">
        <v>2</v>
      </c>
      <c r="Z94" s="12">
        <v>10</v>
      </c>
      <c r="AA94" s="12">
        <v>9</v>
      </c>
      <c r="AB94" s="12">
        <v>8</v>
      </c>
      <c r="AC94" s="12">
        <v>4</v>
      </c>
      <c r="AD94" s="12" t="s">
        <v>20</v>
      </c>
      <c r="AE94" s="19">
        <f>(U94/K94)*100</f>
      </c>
    </row>
    <row r="95">
      <c r="A95" s="43" t="s">
        <v>213</v>
      </c>
      <c r="B95" s="12" t="s">
        <v>214</v>
      </c>
      <c r="C95" s="12" t="s">
        <v>20</v>
      </c>
      <c r="D95" s="12" t="s">
        <v>20</v>
      </c>
      <c r="E95" s="12" t="s">
        <v>20</v>
      </c>
      <c r="F95" s="12" t="s">
        <v>20</v>
      </c>
      <c r="G95" s="12" t="s">
        <v>20</v>
      </c>
      <c r="H95" s="12" t="s">
        <v>20</v>
      </c>
      <c r="I95" s="12" t="s">
        <v>20</v>
      </c>
      <c r="J95" s="12" t="s">
        <v>20</v>
      </c>
      <c r="K95" s="19">
        <f>=SUM(C95:J95)</f>
      </c>
      <c r="M95" s="12" t="s">
        <v>20</v>
      </c>
      <c r="N95" s="12" t="s">
        <v>20</v>
      </c>
      <c r="O95" s="12" t="s">
        <v>20</v>
      </c>
      <c r="P95" s="12" t="s">
        <v>20</v>
      </c>
      <c r="Q95" s="12" t="s">
        <v>20</v>
      </c>
      <c r="R95" s="12" t="s">
        <v>20</v>
      </c>
      <c r="S95" s="12" t="s">
        <v>20</v>
      </c>
      <c r="T95" s="12" t="s">
        <v>20</v>
      </c>
      <c r="U95" s="19">
        <f>=SUM(M95:T95)</f>
      </c>
      <c r="W95" s="12" t="s">
        <v>20</v>
      </c>
      <c r="X95" s="12" t="s">
        <v>20</v>
      </c>
      <c r="Y95" s="12" t="s">
        <v>20</v>
      </c>
      <c r="Z95" s="12" t="s">
        <v>20</v>
      </c>
      <c r="AA95" s="12" t="s">
        <v>20</v>
      </c>
      <c r="AB95" s="12" t="s">
        <v>20</v>
      </c>
      <c r="AC95" s="12" t="s">
        <v>20</v>
      </c>
      <c r="AD95" s="12" t="s">
        <v>20</v>
      </c>
      <c r="AE95" s="19">
        <f>(U95/K95)*100</f>
      </c>
    </row>
    <row r="96">
      <c r="A96" s="43" t="s">
        <v>215</v>
      </c>
      <c r="B96" s="12" t="s">
        <v>216</v>
      </c>
      <c r="C96" s="13">
        <v>1</v>
      </c>
      <c r="D96" s="12" t="s">
        <v>20</v>
      </c>
      <c r="E96" s="12" t="s">
        <v>20</v>
      </c>
      <c r="F96" s="12" t="s">
        <v>20</v>
      </c>
      <c r="G96" s="12" t="s">
        <v>20</v>
      </c>
      <c r="H96" s="12" t="s">
        <v>20</v>
      </c>
      <c r="I96" s="12" t="s">
        <v>20</v>
      </c>
      <c r="J96" s="12" t="s">
        <v>20</v>
      </c>
      <c r="K96" s="19">
        <f>=SUM(C96:J96)</f>
      </c>
      <c r="M96" s="12" t="s">
        <v>20</v>
      </c>
      <c r="N96" s="12" t="s">
        <v>20</v>
      </c>
      <c r="O96" s="12" t="s">
        <v>20</v>
      </c>
      <c r="P96" s="12" t="s">
        <v>20</v>
      </c>
      <c r="Q96" s="12" t="s">
        <v>20</v>
      </c>
      <c r="R96" s="12" t="s">
        <v>20</v>
      </c>
      <c r="S96" s="12" t="s">
        <v>20</v>
      </c>
      <c r="T96" s="12" t="s">
        <v>20</v>
      </c>
      <c r="U96" s="19">
        <f>=SUM(M96:T96)</f>
      </c>
      <c r="W96" s="12" t="s">
        <v>20</v>
      </c>
      <c r="X96" s="12" t="s">
        <v>20</v>
      </c>
      <c r="Y96" s="12" t="s">
        <v>20</v>
      </c>
      <c r="Z96" s="12" t="s">
        <v>20</v>
      </c>
      <c r="AA96" s="12" t="s">
        <v>20</v>
      </c>
      <c r="AB96" s="12" t="s">
        <v>20</v>
      </c>
      <c r="AC96" s="12" t="s">
        <v>20</v>
      </c>
      <c r="AD96" s="12" t="s">
        <v>20</v>
      </c>
      <c r="AE96" s="19">
        <f>(U96/K96)*100</f>
      </c>
    </row>
    <row r="97">
      <c r="A97" s="43" t="s">
        <v>217</v>
      </c>
      <c r="B97" s="12" t="s">
        <v>218</v>
      </c>
      <c r="C97" s="13">
        <v>17</v>
      </c>
      <c r="D97" s="13">
        <v>15</v>
      </c>
      <c r="E97" s="13">
        <v>19</v>
      </c>
      <c r="F97" s="13">
        <v>12</v>
      </c>
      <c r="G97" s="13">
        <v>8</v>
      </c>
      <c r="H97" s="13">
        <v>2</v>
      </c>
      <c r="I97" s="13">
        <v>5</v>
      </c>
      <c r="J97" s="12" t="s">
        <v>20</v>
      </c>
      <c r="K97" s="19">
        <f>=SUM(C97:J97)</f>
      </c>
      <c r="M97" s="12" t="s">
        <v>20</v>
      </c>
      <c r="N97" s="12" t="s">
        <v>20</v>
      </c>
      <c r="O97" s="12" t="s">
        <v>20</v>
      </c>
      <c r="P97" s="12" t="s">
        <v>20</v>
      </c>
      <c r="Q97" s="13">
        <v>1</v>
      </c>
      <c r="R97" s="12" t="s">
        <v>20</v>
      </c>
      <c r="S97" s="12" t="s">
        <v>20</v>
      </c>
      <c r="T97" s="12" t="s">
        <v>20</v>
      </c>
      <c r="U97" s="19">
        <f>=SUM(M97:T97)</f>
      </c>
      <c r="W97" s="12" t="s">
        <v>20</v>
      </c>
      <c r="X97" s="12" t="s">
        <v>20</v>
      </c>
      <c r="Y97" s="12" t="s">
        <v>20</v>
      </c>
      <c r="Z97" s="12" t="s">
        <v>20</v>
      </c>
      <c r="AA97" s="12">
        <v>12</v>
      </c>
      <c r="AB97" s="12" t="s">
        <v>20</v>
      </c>
      <c r="AC97" s="12" t="s">
        <v>20</v>
      </c>
      <c r="AD97" s="12" t="s">
        <v>20</v>
      </c>
      <c r="AE97" s="19">
        <f>(U97/K97)*100</f>
      </c>
    </row>
    <row r="98">
      <c r="A98" s="43" t="s">
        <v>219</v>
      </c>
      <c r="B98" s="12" t="s">
        <v>220</v>
      </c>
      <c r="C98" s="13">
        <v>29</v>
      </c>
      <c r="D98" s="13">
        <v>29</v>
      </c>
      <c r="E98" s="13">
        <v>21</v>
      </c>
      <c r="F98" s="13">
        <v>31</v>
      </c>
      <c r="G98" s="13">
        <v>41</v>
      </c>
      <c r="H98" s="13">
        <v>49</v>
      </c>
      <c r="I98" s="13">
        <v>36</v>
      </c>
      <c r="J98" s="13">
        <v>4</v>
      </c>
      <c r="K98" s="19">
        <f>=SUM(C98:J98)</f>
      </c>
      <c r="M98" s="12" t="s">
        <v>20</v>
      </c>
      <c r="N98" s="12" t="s">
        <v>20</v>
      </c>
      <c r="O98" s="12" t="s">
        <v>20</v>
      </c>
      <c r="P98" s="13">
        <v>1</v>
      </c>
      <c r="Q98" s="13">
        <v>1</v>
      </c>
      <c r="R98" s="13">
        <v>5</v>
      </c>
      <c r="S98" s="13">
        <v>2</v>
      </c>
      <c r="T98" s="12" t="s">
        <v>20</v>
      </c>
      <c r="U98" s="19">
        <f>=SUM(M98:T98)</f>
      </c>
      <c r="W98" s="12" t="s">
        <v>20</v>
      </c>
      <c r="X98" s="12" t="s">
        <v>20</v>
      </c>
      <c r="Y98" s="12" t="s">
        <v>20</v>
      </c>
      <c r="Z98" s="12">
        <v>3</v>
      </c>
      <c r="AA98" s="12">
        <v>2</v>
      </c>
      <c r="AB98" s="12">
        <v>10</v>
      </c>
      <c r="AC98" s="12">
        <v>6</v>
      </c>
      <c r="AD98" s="12" t="s">
        <v>20</v>
      </c>
      <c r="AE98" s="19">
        <f>(U98/K98)*100</f>
      </c>
    </row>
    <row r="99">
      <c r="A99" s="43" t="s">
        <v>221</v>
      </c>
      <c r="B99" s="12" t="s">
        <v>222</v>
      </c>
      <c r="C99" s="12" t="s">
        <v>20</v>
      </c>
      <c r="D99" s="13">
        <v>1</v>
      </c>
      <c r="E99" s="13">
        <v>1</v>
      </c>
      <c r="F99" s="12" t="s">
        <v>20</v>
      </c>
      <c r="G99" s="12" t="s">
        <v>20</v>
      </c>
      <c r="H99" s="12" t="s">
        <v>20</v>
      </c>
      <c r="I99" s="12" t="s">
        <v>20</v>
      </c>
      <c r="J99" s="12" t="s">
        <v>20</v>
      </c>
      <c r="K99" s="19">
        <f>=SUM(C99:J99)</f>
      </c>
      <c r="M99" s="12" t="s">
        <v>20</v>
      </c>
      <c r="N99" s="12" t="s">
        <v>20</v>
      </c>
      <c r="O99" s="12" t="s">
        <v>20</v>
      </c>
      <c r="P99" s="12" t="s">
        <v>20</v>
      </c>
      <c r="Q99" s="12" t="s">
        <v>20</v>
      </c>
      <c r="R99" s="12" t="s">
        <v>20</v>
      </c>
      <c r="S99" s="12" t="s">
        <v>20</v>
      </c>
      <c r="T99" s="12" t="s">
        <v>20</v>
      </c>
      <c r="U99" s="19">
        <f>=SUM(M99:T99)</f>
      </c>
      <c r="W99" s="12" t="s">
        <v>20</v>
      </c>
      <c r="X99" s="12" t="s">
        <v>20</v>
      </c>
      <c r="Y99" s="12" t="s">
        <v>20</v>
      </c>
      <c r="Z99" s="12" t="s">
        <v>20</v>
      </c>
      <c r="AA99" s="12" t="s">
        <v>20</v>
      </c>
      <c r="AB99" s="12" t="s">
        <v>20</v>
      </c>
      <c r="AC99" s="12" t="s">
        <v>20</v>
      </c>
      <c r="AD99" s="12" t="s">
        <v>20</v>
      </c>
      <c r="AE99" s="19">
        <f>(U99/K99)*100</f>
      </c>
    </row>
    <row r="100">
      <c r="A100" s="43" t="s">
        <v>223</v>
      </c>
      <c r="B100" s="12" t="s">
        <v>224</v>
      </c>
      <c r="C100" s="12" t="s">
        <v>20</v>
      </c>
      <c r="D100" s="12" t="s">
        <v>20</v>
      </c>
      <c r="E100" s="13">
        <v>1</v>
      </c>
      <c r="F100" s="12" t="s">
        <v>20</v>
      </c>
      <c r="G100" s="12" t="s">
        <v>20</v>
      </c>
      <c r="H100" s="12" t="s">
        <v>20</v>
      </c>
      <c r="I100" s="12" t="s">
        <v>20</v>
      </c>
      <c r="J100" s="12" t="s">
        <v>20</v>
      </c>
      <c r="K100" s="19">
        <f>=SUM(C100:J100)</f>
      </c>
      <c r="M100" s="12" t="s">
        <v>20</v>
      </c>
      <c r="N100" s="12" t="s">
        <v>20</v>
      </c>
      <c r="O100" s="12" t="s">
        <v>20</v>
      </c>
      <c r="P100" s="12" t="s">
        <v>20</v>
      </c>
      <c r="Q100" s="12" t="s">
        <v>20</v>
      </c>
      <c r="R100" s="12" t="s">
        <v>20</v>
      </c>
      <c r="S100" s="12" t="s">
        <v>20</v>
      </c>
      <c r="T100" s="12" t="s">
        <v>20</v>
      </c>
      <c r="U100" s="19">
        <f>=SUM(M100:T100)</f>
      </c>
      <c r="W100" s="12" t="s">
        <v>20</v>
      </c>
      <c r="X100" s="12" t="s">
        <v>20</v>
      </c>
      <c r="Y100" s="12" t="s">
        <v>20</v>
      </c>
      <c r="Z100" s="12" t="s">
        <v>20</v>
      </c>
      <c r="AA100" s="12" t="s">
        <v>20</v>
      </c>
      <c r="AB100" s="12" t="s">
        <v>20</v>
      </c>
      <c r="AC100" s="12" t="s">
        <v>20</v>
      </c>
      <c r="AD100" s="12" t="s">
        <v>20</v>
      </c>
      <c r="AE100" s="19">
        <f>(U100/K100)*100</f>
      </c>
    </row>
    <row r="101">
      <c r="A101" s="43" t="s">
        <v>225</v>
      </c>
      <c r="B101" s="12" t="s">
        <v>226</v>
      </c>
      <c r="C101" s="12" t="s">
        <v>20</v>
      </c>
      <c r="D101" s="12" t="s">
        <v>20</v>
      </c>
      <c r="E101" s="12" t="s">
        <v>20</v>
      </c>
      <c r="F101" s="12" t="s">
        <v>20</v>
      </c>
      <c r="G101" s="12" t="s">
        <v>20</v>
      </c>
      <c r="H101" s="12" t="s">
        <v>20</v>
      </c>
      <c r="I101" s="12" t="s">
        <v>20</v>
      </c>
      <c r="J101" s="12" t="s">
        <v>20</v>
      </c>
      <c r="K101" s="19">
        <f>=SUM(C101:J101)</f>
      </c>
      <c r="M101" s="12" t="s">
        <v>20</v>
      </c>
      <c r="N101" s="12" t="s">
        <v>20</v>
      </c>
      <c r="O101" s="12" t="s">
        <v>20</v>
      </c>
      <c r="P101" s="12" t="s">
        <v>20</v>
      </c>
      <c r="Q101" s="12" t="s">
        <v>20</v>
      </c>
      <c r="R101" s="12" t="s">
        <v>20</v>
      </c>
      <c r="S101" s="12" t="s">
        <v>20</v>
      </c>
      <c r="T101" s="12" t="s">
        <v>20</v>
      </c>
      <c r="U101" s="19">
        <f>=SUM(M101:T101)</f>
      </c>
      <c r="W101" s="12" t="s">
        <v>20</v>
      </c>
      <c r="X101" s="12" t="s">
        <v>20</v>
      </c>
      <c r="Y101" s="12" t="s">
        <v>20</v>
      </c>
      <c r="Z101" s="12" t="s">
        <v>20</v>
      </c>
      <c r="AA101" s="12" t="s">
        <v>20</v>
      </c>
      <c r="AB101" s="12" t="s">
        <v>20</v>
      </c>
      <c r="AC101" s="12" t="s">
        <v>20</v>
      </c>
      <c r="AD101" s="12" t="s">
        <v>20</v>
      </c>
      <c r="AE101" s="19">
        <f>(U101/K101)*100</f>
      </c>
    </row>
    <row r="102">
      <c r="A102" s="43" t="s">
        <v>227</v>
      </c>
      <c r="B102" s="12" t="s">
        <v>228</v>
      </c>
      <c r="C102" s="12" t="s">
        <v>20</v>
      </c>
      <c r="D102" s="12" t="s">
        <v>20</v>
      </c>
      <c r="E102" s="12" t="s">
        <v>20</v>
      </c>
      <c r="F102" s="12" t="s">
        <v>20</v>
      </c>
      <c r="G102" s="12" t="s">
        <v>20</v>
      </c>
      <c r="H102" s="12" t="s">
        <v>20</v>
      </c>
      <c r="I102" s="12" t="s">
        <v>20</v>
      </c>
      <c r="J102" s="12" t="s">
        <v>20</v>
      </c>
      <c r="K102" s="19">
        <f>=SUM(C102:J102)</f>
      </c>
      <c r="M102" s="12" t="s">
        <v>20</v>
      </c>
      <c r="N102" s="12" t="s">
        <v>20</v>
      </c>
      <c r="O102" s="12" t="s">
        <v>20</v>
      </c>
      <c r="P102" s="12" t="s">
        <v>20</v>
      </c>
      <c r="Q102" s="12" t="s">
        <v>20</v>
      </c>
      <c r="R102" s="12" t="s">
        <v>20</v>
      </c>
      <c r="S102" s="12" t="s">
        <v>20</v>
      </c>
      <c r="T102" s="12" t="s">
        <v>20</v>
      </c>
      <c r="U102" s="19">
        <f>=SUM(M102:T102)</f>
      </c>
      <c r="W102" s="12" t="s">
        <v>20</v>
      </c>
      <c r="X102" s="12" t="s">
        <v>20</v>
      </c>
      <c r="Y102" s="12" t="s">
        <v>20</v>
      </c>
      <c r="Z102" s="12" t="s">
        <v>20</v>
      </c>
      <c r="AA102" s="12" t="s">
        <v>20</v>
      </c>
      <c r="AB102" s="12" t="s">
        <v>20</v>
      </c>
      <c r="AC102" s="12" t="s">
        <v>20</v>
      </c>
      <c r="AD102" s="12" t="s">
        <v>20</v>
      </c>
      <c r="AE102" s="19">
        <f>(U102/K102)*100</f>
      </c>
    </row>
    <row r="103">
      <c r="A103" s="43" t="s">
        <v>229</v>
      </c>
      <c r="B103" s="12" t="s">
        <v>230</v>
      </c>
      <c r="C103" s="12" t="s">
        <v>20</v>
      </c>
      <c r="D103" s="12" t="s">
        <v>20</v>
      </c>
      <c r="E103" s="12" t="s">
        <v>20</v>
      </c>
      <c r="F103" s="12" t="s">
        <v>20</v>
      </c>
      <c r="G103" s="12" t="s">
        <v>20</v>
      </c>
      <c r="H103" s="12" t="s">
        <v>20</v>
      </c>
      <c r="I103" s="12" t="s">
        <v>20</v>
      </c>
      <c r="J103" s="12" t="s">
        <v>20</v>
      </c>
      <c r="K103" s="19">
        <f>=SUM(C103:J103)</f>
      </c>
      <c r="M103" s="12" t="s">
        <v>20</v>
      </c>
      <c r="N103" s="12" t="s">
        <v>20</v>
      </c>
      <c r="O103" s="12" t="s">
        <v>20</v>
      </c>
      <c r="P103" s="12" t="s">
        <v>20</v>
      </c>
      <c r="Q103" s="12" t="s">
        <v>20</v>
      </c>
      <c r="R103" s="12" t="s">
        <v>20</v>
      </c>
      <c r="S103" s="12" t="s">
        <v>20</v>
      </c>
      <c r="T103" s="12" t="s">
        <v>20</v>
      </c>
      <c r="U103" s="19">
        <f>=SUM(M103:T103)</f>
      </c>
      <c r="W103" s="12" t="s">
        <v>20</v>
      </c>
      <c r="X103" s="12" t="s">
        <v>20</v>
      </c>
      <c r="Y103" s="12" t="s">
        <v>20</v>
      </c>
      <c r="Z103" s="12" t="s">
        <v>20</v>
      </c>
      <c r="AA103" s="12" t="s">
        <v>20</v>
      </c>
      <c r="AB103" s="12" t="s">
        <v>20</v>
      </c>
      <c r="AC103" s="12" t="s">
        <v>20</v>
      </c>
      <c r="AD103" s="12" t="s">
        <v>20</v>
      </c>
      <c r="AE103" s="19">
        <f>(U103/K103)*100</f>
      </c>
    </row>
    <row r="104">
      <c r="A104" s="43" t="s">
        <v>231</v>
      </c>
      <c r="B104" s="12" t="s">
        <v>232</v>
      </c>
      <c r="C104" s="12" t="s">
        <v>20</v>
      </c>
      <c r="D104" s="12" t="s">
        <v>20</v>
      </c>
      <c r="E104" s="12" t="s">
        <v>20</v>
      </c>
      <c r="F104" s="12" t="s">
        <v>20</v>
      </c>
      <c r="G104" s="12" t="s">
        <v>20</v>
      </c>
      <c r="H104" s="12" t="s">
        <v>20</v>
      </c>
      <c r="I104" s="12" t="s">
        <v>20</v>
      </c>
      <c r="J104" s="12" t="s">
        <v>20</v>
      </c>
      <c r="K104" s="19">
        <f>=SUM(C104:J104)</f>
      </c>
      <c r="M104" s="12" t="s">
        <v>20</v>
      </c>
      <c r="N104" s="12" t="s">
        <v>20</v>
      </c>
      <c r="O104" s="12" t="s">
        <v>20</v>
      </c>
      <c r="P104" s="12" t="s">
        <v>20</v>
      </c>
      <c r="Q104" s="12" t="s">
        <v>20</v>
      </c>
      <c r="R104" s="12" t="s">
        <v>20</v>
      </c>
      <c r="S104" s="12" t="s">
        <v>20</v>
      </c>
      <c r="T104" s="12" t="s">
        <v>20</v>
      </c>
      <c r="U104" s="19">
        <f>=SUM(M104:T104)</f>
      </c>
      <c r="W104" s="12" t="s">
        <v>20</v>
      </c>
      <c r="X104" s="12" t="s">
        <v>20</v>
      </c>
      <c r="Y104" s="12" t="s">
        <v>20</v>
      </c>
      <c r="Z104" s="12" t="s">
        <v>20</v>
      </c>
      <c r="AA104" s="12" t="s">
        <v>20</v>
      </c>
      <c r="AB104" s="12" t="s">
        <v>20</v>
      </c>
      <c r="AC104" s="12" t="s">
        <v>20</v>
      </c>
      <c r="AD104" s="12" t="s">
        <v>20</v>
      </c>
      <c r="AE104" s="19">
        <f>(U104/K104)*100</f>
      </c>
    </row>
    <row r="105">
      <c r="A105" s="43" t="s">
        <v>233</v>
      </c>
      <c r="B105" s="12" t="s">
        <v>234</v>
      </c>
      <c r="C105" s="13">
        <v>1</v>
      </c>
      <c r="D105" s="12" t="s">
        <v>20</v>
      </c>
      <c r="E105" s="12" t="s">
        <v>20</v>
      </c>
      <c r="F105" s="13">
        <v>1</v>
      </c>
      <c r="G105" s="13">
        <v>1</v>
      </c>
      <c r="H105" s="12" t="s">
        <v>20</v>
      </c>
      <c r="I105" s="12" t="s">
        <v>20</v>
      </c>
      <c r="J105" s="12" t="s">
        <v>20</v>
      </c>
      <c r="K105" s="19">
        <f>=SUM(C105:J105)</f>
      </c>
      <c r="M105" s="12" t="s">
        <v>20</v>
      </c>
      <c r="N105" s="12" t="s">
        <v>20</v>
      </c>
      <c r="O105" s="12" t="s">
        <v>20</v>
      </c>
      <c r="P105" s="12" t="s">
        <v>20</v>
      </c>
      <c r="Q105" s="12" t="s">
        <v>20</v>
      </c>
      <c r="R105" s="12" t="s">
        <v>20</v>
      </c>
      <c r="S105" s="12" t="s">
        <v>20</v>
      </c>
      <c r="T105" s="12" t="s">
        <v>20</v>
      </c>
      <c r="U105" s="19">
        <f>=SUM(M105:T105)</f>
      </c>
      <c r="W105" s="12" t="s">
        <v>20</v>
      </c>
      <c r="X105" s="12" t="s">
        <v>20</v>
      </c>
      <c r="Y105" s="12" t="s">
        <v>20</v>
      </c>
      <c r="Z105" s="12" t="s">
        <v>20</v>
      </c>
      <c r="AA105" s="12" t="s">
        <v>20</v>
      </c>
      <c r="AB105" s="12" t="s">
        <v>20</v>
      </c>
      <c r="AC105" s="12" t="s">
        <v>20</v>
      </c>
      <c r="AD105" s="12" t="s">
        <v>20</v>
      </c>
      <c r="AE105" s="19">
        <f>(U105/K105)*100</f>
      </c>
    </row>
    <row r="106">
      <c r="A106" s="43" t="s">
        <v>235</v>
      </c>
      <c r="B106" s="12" t="s">
        <v>236</v>
      </c>
      <c r="C106" s="13">
        <v>49</v>
      </c>
      <c r="D106" s="13">
        <v>54</v>
      </c>
      <c r="E106" s="13">
        <v>53</v>
      </c>
      <c r="F106" s="13">
        <v>43</v>
      </c>
      <c r="G106" s="13">
        <v>43</v>
      </c>
      <c r="H106" s="13">
        <v>45</v>
      </c>
      <c r="I106" s="13">
        <v>41</v>
      </c>
      <c r="J106" s="12" t="s">
        <v>20</v>
      </c>
      <c r="K106" s="19">
        <f>=SUM(C106:J106)</f>
      </c>
      <c r="M106" s="13">
        <v>2</v>
      </c>
      <c r="N106" s="12" t="s">
        <v>20</v>
      </c>
      <c r="O106" s="12" t="s">
        <v>20</v>
      </c>
      <c r="P106" s="13">
        <v>1</v>
      </c>
      <c r="Q106" s="12" t="s">
        <v>20</v>
      </c>
      <c r="R106" s="13">
        <v>1</v>
      </c>
      <c r="S106" s="13">
        <v>1</v>
      </c>
      <c r="T106" s="12" t="s">
        <v>20</v>
      </c>
      <c r="U106" s="19">
        <f>=SUM(M106:T106)</f>
      </c>
      <c r="W106" s="12">
        <v>4</v>
      </c>
      <c r="X106" s="12" t="s">
        <v>20</v>
      </c>
      <c r="Y106" s="12" t="s">
        <v>20</v>
      </c>
      <c r="Z106" s="12">
        <v>2</v>
      </c>
      <c r="AA106" s="12" t="s">
        <v>20</v>
      </c>
      <c r="AB106" s="12">
        <v>2</v>
      </c>
      <c r="AC106" s="12">
        <v>2</v>
      </c>
      <c r="AD106" s="12" t="s">
        <v>20</v>
      </c>
      <c r="AE106" s="19">
        <f>(U106/K106)*100</f>
      </c>
    </row>
    <row r="107">
      <c r="A107" s="43" t="s">
        <v>237</v>
      </c>
      <c r="B107" s="12" t="s">
        <v>238</v>
      </c>
      <c r="C107" s="12" t="s">
        <v>20</v>
      </c>
      <c r="D107" s="12" t="s">
        <v>20</v>
      </c>
      <c r="E107" s="12" t="s">
        <v>20</v>
      </c>
      <c r="F107" s="12" t="s">
        <v>20</v>
      </c>
      <c r="G107" s="12" t="s">
        <v>20</v>
      </c>
      <c r="H107" s="13">
        <v>1</v>
      </c>
      <c r="I107" s="12" t="s">
        <v>20</v>
      </c>
      <c r="J107" s="12" t="s">
        <v>20</v>
      </c>
      <c r="K107" s="19">
        <f>=SUM(C107:J107)</f>
      </c>
      <c r="M107" s="12" t="s">
        <v>20</v>
      </c>
      <c r="N107" s="12" t="s">
        <v>20</v>
      </c>
      <c r="O107" s="12" t="s">
        <v>20</v>
      </c>
      <c r="P107" s="12" t="s">
        <v>20</v>
      </c>
      <c r="Q107" s="12" t="s">
        <v>20</v>
      </c>
      <c r="R107" s="12" t="s">
        <v>20</v>
      </c>
      <c r="S107" s="12" t="s">
        <v>20</v>
      </c>
      <c r="T107" s="12" t="s">
        <v>20</v>
      </c>
      <c r="U107" s="19">
        <f>=SUM(M107:T107)</f>
      </c>
      <c r="W107" s="12" t="s">
        <v>20</v>
      </c>
      <c r="X107" s="12" t="s">
        <v>20</v>
      </c>
      <c r="Y107" s="12" t="s">
        <v>20</v>
      </c>
      <c r="Z107" s="12" t="s">
        <v>20</v>
      </c>
      <c r="AA107" s="12" t="s">
        <v>20</v>
      </c>
      <c r="AB107" s="12" t="s">
        <v>20</v>
      </c>
      <c r="AC107" s="12" t="s">
        <v>20</v>
      </c>
      <c r="AD107" s="12" t="s">
        <v>20</v>
      </c>
      <c r="AE107" s="19">
        <f>(U107/K107)*100</f>
      </c>
    </row>
    <row r="108">
      <c r="A108" s="43" t="s">
        <v>239</v>
      </c>
      <c r="B108" s="12" t="s">
        <v>240</v>
      </c>
      <c r="C108" s="12" t="s">
        <v>20</v>
      </c>
      <c r="D108" s="12" t="s">
        <v>20</v>
      </c>
      <c r="E108" s="12" t="s">
        <v>20</v>
      </c>
      <c r="F108" s="12" t="s">
        <v>20</v>
      </c>
      <c r="G108" s="12" t="s">
        <v>20</v>
      </c>
      <c r="H108" s="12" t="s">
        <v>20</v>
      </c>
      <c r="I108" s="12" t="s">
        <v>20</v>
      </c>
      <c r="J108" s="12" t="s">
        <v>20</v>
      </c>
      <c r="K108" s="19">
        <f>=SUM(C108:J108)</f>
      </c>
      <c r="M108" s="12" t="s">
        <v>20</v>
      </c>
      <c r="N108" s="12" t="s">
        <v>20</v>
      </c>
      <c r="O108" s="12" t="s">
        <v>20</v>
      </c>
      <c r="P108" s="12" t="s">
        <v>20</v>
      </c>
      <c r="Q108" s="12" t="s">
        <v>20</v>
      </c>
      <c r="R108" s="12" t="s">
        <v>20</v>
      </c>
      <c r="S108" s="12" t="s">
        <v>20</v>
      </c>
      <c r="T108" s="12" t="s">
        <v>20</v>
      </c>
      <c r="U108" s="19">
        <f>=SUM(M108:T108)</f>
      </c>
      <c r="W108" s="12" t="s">
        <v>20</v>
      </c>
      <c r="X108" s="12" t="s">
        <v>20</v>
      </c>
      <c r="Y108" s="12" t="s">
        <v>20</v>
      </c>
      <c r="Z108" s="12" t="s">
        <v>20</v>
      </c>
      <c r="AA108" s="12" t="s">
        <v>20</v>
      </c>
      <c r="AB108" s="12" t="s">
        <v>20</v>
      </c>
      <c r="AC108" s="12" t="s">
        <v>20</v>
      </c>
      <c r="AD108" s="12" t="s">
        <v>20</v>
      </c>
      <c r="AE108" s="19">
        <f>(U108/K108)*100</f>
      </c>
    </row>
    <row r="109">
      <c r="A109" s="43" t="s">
        <v>241</v>
      </c>
      <c r="B109" s="12" t="s">
        <v>242</v>
      </c>
      <c r="C109" s="13">
        <v>1</v>
      </c>
      <c r="D109" s="12" t="s">
        <v>20</v>
      </c>
      <c r="E109" s="13">
        <v>2</v>
      </c>
      <c r="F109" s="12" t="s">
        <v>20</v>
      </c>
      <c r="G109" s="13">
        <v>1</v>
      </c>
      <c r="H109" s="13">
        <v>1</v>
      </c>
      <c r="I109" s="13">
        <v>1</v>
      </c>
      <c r="J109" s="12" t="s">
        <v>20</v>
      </c>
      <c r="K109" s="19">
        <f>=SUM(C109:J109)</f>
      </c>
      <c r="M109" s="12" t="s">
        <v>20</v>
      </c>
      <c r="N109" s="12" t="s">
        <v>20</v>
      </c>
      <c r="O109" s="12" t="s">
        <v>20</v>
      </c>
      <c r="P109" s="12" t="s">
        <v>20</v>
      </c>
      <c r="Q109" s="12" t="s">
        <v>20</v>
      </c>
      <c r="R109" s="12" t="s">
        <v>20</v>
      </c>
      <c r="S109" s="12" t="s">
        <v>20</v>
      </c>
      <c r="T109" s="12" t="s">
        <v>20</v>
      </c>
      <c r="U109" s="19">
        <f>=SUM(M109:T109)</f>
      </c>
      <c r="W109" s="12" t="s">
        <v>20</v>
      </c>
      <c r="X109" s="12" t="s">
        <v>20</v>
      </c>
      <c r="Y109" s="12" t="s">
        <v>20</v>
      </c>
      <c r="Z109" s="12" t="s">
        <v>20</v>
      </c>
      <c r="AA109" s="12" t="s">
        <v>20</v>
      </c>
      <c r="AB109" s="12" t="s">
        <v>20</v>
      </c>
      <c r="AC109" s="12" t="s">
        <v>20</v>
      </c>
      <c r="AD109" s="12" t="s">
        <v>20</v>
      </c>
      <c r="AE109" s="19">
        <f>(U109/K109)*100</f>
      </c>
    </row>
    <row r="110">
      <c r="A110" s="43" t="s">
        <v>243</v>
      </c>
      <c r="B110" s="12" t="s">
        <v>244</v>
      </c>
      <c r="C110" s="12" t="s">
        <v>20</v>
      </c>
      <c r="D110" s="12" t="s">
        <v>20</v>
      </c>
      <c r="E110" s="12" t="s">
        <v>20</v>
      </c>
      <c r="F110" s="12" t="s">
        <v>20</v>
      </c>
      <c r="G110" s="12" t="s">
        <v>20</v>
      </c>
      <c r="H110" s="12" t="s">
        <v>20</v>
      </c>
      <c r="I110" s="12" t="s">
        <v>20</v>
      </c>
      <c r="J110" s="12" t="s">
        <v>20</v>
      </c>
      <c r="K110" s="19">
        <f>=SUM(C110:J110)</f>
      </c>
      <c r="M110" s="12" t="s">
        <v>20</v>
      </c>
      <c r="N110" s="12" t="s">
        <v>20</v>
      </c>
      <c r="O110" s="12" t="s">
        <v>20</v>
      </c>
      <c r="P110" s="12" t="s">
        <v>20</v>
      </c>
      <c r="Q110" s="12" t="s">
        <v>20</v>
      </c>
      <c r="R110" s="12" t="s">
        <v>20</v>
      </c>
      <c r="S110" s="12" t="s">
        <v>20</v>
      </c>
      <c r="T110" s="12" t="s">
        <v>20</v>
      </c>
      <c r="U110" s="19">
        <f>=SUM(M110:T110)</f>
      </c>
      <c r="W110" s="12" t="s">
        <v>20</v>
      </c>
      <c r="X110" s="12" t="s">
        <v>20</v>
      </c>
      <c r="Y110" s="12" t="s">
        <v>20</v>
      </c>
      <c r="Z110" s="12" t="s">
        <v>20</v>
      </c>
      <c r="AA110" s="12" t="s">
        <v>20</v>
      </c>
      <c r="AB110" s="12" t="s">
        <v>20</v>
      </c>
      <c r="AC110" s="12" t="s">
        <v>20</v>
      </c>
      <c r="AD110" s="12" t="s">
        <v>20</v>
      </c>
      <c r="AE110" s="19">
        <f>(U110/K110)*100</f>
      </c>
    </row>
    <row r="111">
      <c r="B111" s="18" t="s">
        <v>245</v>
      </c>
      <c r="C111" s="19">
        <f>=SUM(C4:C110)</f>
      </c>
      <c r="D111" s="19">
        <f>=SUM(D4:D110)</f>
      </c>
      <c r="E111" s="19">
        <f>=SUM(E4:E110)</f>
      </c>
      <c r="F111" s="19">
        <f>=SUM(F4:F110)</f>
      </c>
      <c r="G111" s="19">
        <f>=SUM(G4:G110)</f>
      </c>
      <c r="H111" s="19">
        <f>=SUM(H4:H110)</f>
      </c>
      <c r="I111" s="19">
        <f>=SUM(I4:I110)</f>
      </c>
      <c r="J111" s="19">
        <f>=SUM(J4:J110)</f>
      </c>
      <c r="K111" s="19">
        <f>=SUM(C111:J111)</f>
      </c>
      <c r="M111" s="19">
        <f>=SUM(M4:M110)</f>
      </c>
      <c r="N111" s="19">
        <f>=SUM(N4:N110)</f>
      </c>
      <c r="O111" s="19">
        <f>=SUM(O4:O110)</f>
      </c>
      <c r="P111" s="19">
        <f>=SUM(P4:P110)</f>
      </c>
      <c r="Q111" s="19">
        <f>=SUM(Q4:Q110)</f>
      </c>
      <c r="R111" s="19">
        <f>=SUM(R4:R110)</f>
      </c>
      <c r="S111" s="19">
        <f>=SUM(S4:S110)</f>
      </c>
      <c r="T111" s="19">
        <f>=SUM(T4:T110)</f>
      </c>
      <c r="U111" s="19">
        <f>=SUM(M111:T111)</f>
      </c>
      <c r="W111" s="19">
        <f>=SUM(W4:W110)/107</f>
      </c>
      <c r="X111" s="19">
        <f>=SUM(X4:X110)/107</f>
      </c>
      <c r="Y111" s="19">
        <f>=SUM(Y4:Y110)/107</f>
      </c>
      <c r="Z111" s="19">
        <f>=SUM(Z4:Z110)/107</f>
      </c>
      <c r="AA111" s="19">
        <f>=SUM(AA4:AA110)/107</f>
      </c>
      <c r="AB111" s="19">
        <f>=SUM(AB4:AB110)/107</f>
      </c>
      <c r="AC111" s="19">
        <f>=SUM(AC4:AC110)/107</f>
      </c>
      <c r="AD111" s="19">
        <f>=SUM(AD4:AD110)/107</f>
      </c>
      <c r="AE111" s="19">
        <f>(U111/K111*100)</f>
      </c>
    </row>
    <row r="113">
      <c r="A113" s="11" t="s">
        <v>21</v>
      </c>
    </row>
    <row r="114">
      <c r="A114" s="43" t="s">
        <v>246</v>
      </c>
      <c r="B114" s="12" t="s">
        <v>247</v>
      </c>
      <c r="C114" s="13">
        <v>1</v>
      </c>
      <c r="D114" s="13">
        <v>1</v>
      </c>
      <c r="E114" s="13">
        <v>1</v>
      </c>
      <c r="F114" s="13">
        <v>3</v>
      </c>
      <c r="G114" s="12" t="s">
        <v>20</v>
      </c>
      <c r="H114" s="13">
        <v>4</v>
      </c>
      <c r="I114" s="12" t="s">
        <v>20</v>
      </c>
      <c r="J114" s="12" t="s">
        <v>20</v>
      </c>
      <c r="K114" s="19">
        <f>=SUM(C114:J114)</f>
      </c>
      <c r="M114" s="12" t="s">
        <v>20</v>
      </c>
      <c r="N114" s="12" t="s">
        <v>20</v>
      </c>
      <c r="O114" s="12" t="s">
        <v>20</v>
      </c>
      <c r="P114" s="13">
        <v>1</v>
      </c>
      <c r="Q114" s="12" t="s">
        <v>20</v>
      </c>
      <c r="R114" s="12" t="s">
        <v>20</v>
      </c>
      <c r="S114" s="12" t="s">
        <v>20</v>
      </c>
      <c r="T114" s="12" t="s">
        <v>20</v>
      </c>
      <c r="U114" s="19">
        <f>=SUM(M114:T114)</f>
      </c>
      <c r="W114" s="12" t="s">
        <v>20</v>
      </c>
      <c r="X114" s="12" t="s">
        <v>20</v>
      </c>
      <c r="Y114" s="12" t="s">
        <v>20</v>
      </c>
      <c r="Z114" s="12">
        <v>33</v>
      </c>
      <c r="AA114" s="12" t="s">
        <v>20</v>
      </c>
      <c r="AB114" s="12" t="s">
        <v>20</v>
      </c>
      <c r="AC114" s="12" t="s">
        <v>20</v>
      </c>
      <c r="AD114" s="12" t="s">
        <v>20</v>
      </c>
      <c r="AE114" s="19">
        <f>(U114/K114)*100</f>
      </c>
    </row>
    <row r="115">
      <c r="A115" s="43" t="s">
        <v>248</v>
      </c>
      <c r="B115" s="12" t="s">
        <v>249</v>
      </c>
      <c r="C115" s="13">
        <v>12</v>
      </c>
      <c r="D115" s="13">
        <v>12</v>
      </c>
      <c r="E115" s="13">
        <v>12</v>
      </c>
      <c r="F115" s="13">
        <v>11</v>
      </c>
      <c r="G115" s="13">
        <v>12</v>
      </c>
      <c r="H115" s="13">
        <v>11</v>
      </c>
      <c r="I115" s="13">
        <v>11</v>
      </c>
      <c r="J115" s="12" t="s">
        <v>20</v>
      </c>
      <c r="K115" s="19">
        <f>=SUM(C115:J115)</f>
      </c>
      <c r="M115" s="12" t="s">
        <v>20</v>
      </c>
      <c r="N115" s="12" t="s">
        <v>20</v>
      </c>
      <c r="O115" s="12" t="s">
        <v>20</v>
      </c>
      <c r="P115" s="12" t="s">
        <v>20</v>
      </c>
      <c r="Q115" s="13">
        <v>1</v>
      </c>
      <c r="R115" s="12" t="s">
        <v>20</v>
      </c>
      <c r="S115" s="12" t="s">
        <v>20</v>
      </c>
      <c r="T115" s="12" t="s">
        <v>20</v>
      </c>
      <c r="U115" s="19">
        <f>=SUM(M115:T115)</f>
      </c>
      <c r="W115" s="12" t="s">
        <v>20</v>
      </c>
      <c r="X115" s="12" t="s">
        <v>20</v>
      </c>
      <c r="Y115" s="12" t="s">
        <v>20</v>
      </c>
      <c r="Z115" s="12" t="s">
        <v>20</v>
      </c>
      <c r="AA115" s="12">
        <v>8</v>
      </c>
      <c r="AB115" s="12" t="s">
        <v>20</v>
      </c>
      <c r="AC115" s="12" t="s">
        <v>20</v>
      </c>
      <c r="AD115" s="12" t="s">
        <v>20</v>
      </c>
      <c r="AE115" s="19">
        <f>(U115/K115)*100</f>
      </c>
    </row>
    <row r="116">
      <c r="A116" s="43" t="s">
        <v>250</v>
      </c>
      <c r="B116" s="12" t="s">
        <v>251</v>
      </c>
      <c r="C116" s="13">
        <v>155</v>
      </c>
      <c r="D116" s="13">
        <v>198</v>
      </c>
      <c r="E116" s="13">
        <v>118</v>
      </c>
      <c r="F116" s="13">
        <v>160</v>
      </c>
      <c r="G116" s="13">
        <v>210</v>
      </c>
      <c r="H116" s="13">
        <v>242</v>
      </c>
      <c r="I116" s="13">
        <v>206</v>
      </c>
      <c r="J116" s="13">
        <v>5</v>
      </c>
      <c r="K116" s="19">
        <f>=SUM(C116:J116)</f>
      </c>
      <c r="M116" s="12" t="s">
        <v>20</v>
      </c>
      <c r="N116" s="12" t="s">
        <v>20</v>
      </c>
      <c r="O116" s="12" t="s">
        <v>20</v>
      </c>
      <c r="P116" s="13">
        <v>17</v>
      </c>
      <c r="Q116" s="13">
        <v>1</v>
      </c>
      <c r="R116" s="12" t="s">
        <v>20</v>
      </c>
      <c r="S116" s="12" t="s">
        <v>20</v>
      </c>
      <c r="T116" s="12" t="s">
        <v>20</v>
      </c>
      <c r="U116" s="19">
        <f>=SUM(M116:T116)</f>
      </c>
      <c r="W116" s="12" t="s">
        <v>20</v>
      </c>
      <c r="X116" s="12" t="s">
        <v>20</v>
      </c>
      <c r="Y116" s="12" t="s">
        <v>20</v>
      </c>
      <c r="Z116" s="12">
        <v>11</v>
      </c>
      <c r="AA116" s="12">
        <v>0</v>
      </c>
      <c r="AB116" s="12" t="s">
        <v>20</v>
      </c>
      <c r="AC116" s="12" t="s">
        <v>20</v>
      </c>
      <c r="AD116" s="12" t="s">
        <v>20</v>
      </c>
      <c r="AE116" s="19">
        <f>(U116/K116)*100</f>
      </c>
    </row>
    <row r="117">
      <c r="A117" s="43" t="s">
        <v>252</v>
      </c>
      <c r="B117" s="12" t="s">
        <v>253</v>
      </c>
      <c r="C117" s="13">
        <v>123</v>
      </c>
      <c r="D117" s="13">
        <v>101</v>
      </c>
      <c r="E117" s="13">
        <v>128</v>
      </c>
      <c r="F117" s="13">
        <v>104</v>
      </c>
      <c r="G117" s="13">
        <v>105</v>
      </c>
      <c r="H117" s="13">
        <v>120</v>
      </c>
      <c r="I117" s="13">
        <v>47</v>
      </c>
      <c r="J117" s="13">
        <v>9</v>
      </c>
      <c r="K117" s="19">
        <f>=SUM(C117:J117)</f>
      </c>
      <c r="M117" s="12" t="s">
        <v>20</v>
      </c>
      <c r="N117" s="12" t="s">
        <v>20</v>
      </c>
      <c r="O117" s="12" t="s">
        <v>20</v>
      </c>
      <c r="P117" s="12" t="s">
        <v>20</v>
      </c>
      <c r="Q117" s="13">
        <v>1</v>
      </c>
      <c r="R117" s="12" t="s">
        <v>20</v>
      </c>
      <c r="S117" s="12" t="s">
        <v>20</v>
      </c>
      <c r="T117" s="12" t="s">
        <v>20</v>
      </c>
      <c r="U117" s="19">
        <f>=SUM(M117:T117)</f>
      </c>
      <c r="W117" s="12" t="s">
        <v>20</v>
      </c>
      <c r="X117" s="12" t="s">
        <v>20</v>
      </c>
      <c r="Y117" s="12" t="s">
        <v>20</v>
      </c>
      <c r="Z117" s="12" t="s">
        <v>20</v>
      </c>
      <c r="AA117" s="12">
        <v>1</v>
      </c>
      <c r="AB117" s="12" t="s">
        <v>20</v>
      </c>
      <c r="AC117" s="12" t="s">
        <v>20</v>
      </c>
      <c r="AD117" s="12" t="s">
        <v>20</v>
      </c>
      <c r="AE117" s="19">
        <f>(U117/K117)*100</f>
      </c>
    </row>
    <row r="118">
      <c r="A118" s="43" t="s">
        <v>254</v>
      </c>
      <c r="B118" s="12" t="s">
        <v>255</v>
      </c>
      <c r="C118" s="12" t="s">
        <v>20</v>
      </c>
      <c r="D118" s="13">
        <v>1</v>
      </c>
      <c r="E118" s="13">
        <v>2</v>
      </c>
      <c r="F118" s="12" t="s">
        <v>20</v>
      </c>
      <c r="G118" s="12" t="s">
        <v>20</v>
      </c>
      <c r="H118" s="12" t="s">
        <v>20</v>
      </c>
      <c r="I118" s="13">
        <v>1</v>
      </c>
      <c r="J118" s="12" t="s">
        <v>20</v>
      </c>
      <c r="K118" s="19">
        <f>=SUM(C118:J118)</f>
      </c>
      <c r="M118" s="12" t="s">
        <v>20</v>
      </c>
      <c r="N118" s="12" t="s">
        <v>20</v>
      </c>
      <c r="O118" s="12" t="s">
        <v>20</v>
      </c>
      <c r="P118" s="12" t="s">
        <v>20</v>
      </c>
      <c r="Q118" s="12" t="s">
        <v>20</v>
      </c>
      <c r="R118" s="12" t="s">
        <v>20</v>
      </c>
      <c r="S118" s="12" t="s">
        <v>20</v>
      </c>
      <c r="T118" s="12" t="s">
        <v>20</v>
      </c>
      <c r="U118" s="19">
        <f>=SUM(M118:T118)</f>
      </c>
      <c r="W118" s="12" t="s">
        <v>20</v>
      </c>
      <c r="X118" s="12" t="s">
        <v>20</v>
      </c>
      <c r="Y118" s="12" t="s">
        <v>20</v>
      </c>
      <c r="Z118" s="12" t="s">
        <v>20</v>
      </c>
      <c r="AA118" s="12" t="s">
        <v>20</v>
      </c>
      <c r="AB118" s="12" t="s">
        <v>20</v>
      </c>
      <c r="AC118" s="12" t="s">
        <v>20</v>
      </c>
      <c r="AD118" s="12" t="s">
        <v>20</v>
      </c>
      <c r="AE118" s="19">
        <f>(U118/K118)*100</f>
      </c>
    </row>
    <row r="119">
      <c r="A119" s="43" t="s">
        <v>256</v>
      </c>
      <c r="B119" s="12" t="s">
        <v>257</v>
      </c>
      <c r="C119" s="13">
        <v>14</v>
      </c>
      <c r="D119" s="13">
        <v>18</v>
      </c>
      <c r="E119" s="13">
        <v>12</v>
      </c>
      <c r="F119" s="13">
        <v>15</v>
      </c>
      <c r="G119" s="13">
        <v>9</v>
      </c>
      <c r="H119" s="13">
        <v>11</v>
      </c>
      <c r="I119" s="13">
        <v>5</v>
      </c>
      <c r="J119" s="13">
        <v>1</v>
      </c>
      <c r="K119" s="19">
        <f>=SUM(C119:J119)</f>
      </c>
      <c r="M119" s="13">
        <v>1</v>
      </c>
      <c r="N119" s="12" t="s">
        <v>20</v>
      </c>
      <c r="O119" s="13">
        <v>1</v>
      </c>
      <c r="P119" s="12" t="s">
        <v>20</v>
      </c>
      <c r="Q119" s="12" t="s">
        <v>20</v>
      </c>
      <c r="R119" s="12" t="s">
        <v>20</v>
      </c>
      <c r="S119" s="12" t="s">
        <v>20</v>
      </c>
      <c r="T119" s="12" t="s">
        <v>20</v>
      </c>
      <c r="U119" s="19">
        <f>=SUM(M119:T119)</f>
      </c>
      <c r="W119" s="12">
        <v>7</v>
      </c>
      <c r="X119" s="12" t="s">
        <v>20</v>
      </c>
      <c r="Y119" s="12">
        <v>8</v>
      </c>
      <c r="Z119" s="12" t="s">
        <v>20</v>
      </c>
      <c r="AA119" s="12" t="s">
        <v>20</v>
      </c>
      <c r="AB119" s="12" t="s">
        <v>20</v>
      </c>
      <c r="AC119" s="12" t="s">
        <v>20</v>
      </c>
      <c r="AD119" s="12" t="s">
        <v>20</v>
      </c>
      <c r="AE119" s="19">
        <f>(U119/K119)*100</f>
      </c>
    </row>
    <row r="120">
      <c r="A120" s="43" t="s">
        <v>258</v>
      </c>
      <c r="B120" s="12" t="s">
        <v>259</v>
      </c>
      <c r="C120" s="13">
        <v>1</v>
      </c>
      <c r="D120" s="13">
        <v>1</v>
      </c>
      <c r="E120" s="12" t="s">
        <v>20</v>
      </c>
      <c r="F120" s="13">
        <v>1</v>
      </c>
      <c r="G120" s="12" t="s">
        <v>20</v>
      </c>
      <c r="H120" s="12" t="s">
        <v>20</v>
      </c>
      <c r="I120" s="12" t="s">
        <v>20</v>
      </c>
      <c r="J120" s="12" t="s">
        <v>20</v>
      </c>
      <c r="K120" s="19">
        <f>=SUM(C120:J120)</f>
      </c>
      <c r="M120" s="12" t="s">
        <v>20</v>
      </c>
      <c r="N120" s="12" t="s">
        <v>20</v>
      </c>
      <c r="O120" s="12" t="s">
        <v>20</v>
      </c>
      <c r="P120" s="12" t="s">
        <v>20</v>
      </c>
      <c r="Q120" s="12" t="s">
        <v>20</v>
      </c>
      <c r="R120" s="12" t="s">
        <v>20</v>
      </c>
      <c r="S120" s="12" t="s">
        <v>20</v>
      </c>
      <c r="T120" s="12" t="s">
        <v>20</v>
      </c>
      <c r="U120" s="19">
        <f>=SUM(M120:T120)</f>
      </c>
      <c r="W120" s="12" t="s">
        <v>20</v>
      </c>
      <c r="X120" s="12" t="s">
        <v>20</v>
      </c>
      <c r="Y120" s="12" t="s">
        <v>20</v>
      </c>
      <c r="Z120" s="12" t="s">
        <v>20</v>
      </c>
      <c r="AA120" s="12" t="s">
        <v>20</v>
      </c>
      <c r="AB120" s="12" t="s">
        <v>20</v>
      </c>
      <c r="AC120" s="12" t="s">
        <v>20</v>
      </c>
      <c r="AD120" s="12" t="s">
        <v>20</v>
      </c>
      <c r="AE120" s="19">
        <f>(U120/K120)*100</f>
      </c>
    </row>
    <row r="121">
      <c r="A121" s="43" t="s">
        <v>260</v>
      </c>
      <c r="B121" s="12" t="s">
        <v>261</v>
      </c>
      <c r="C121" s="13">
        <v>1</v>
      </c>
      <c r="D121" s="12" t="s">
        <v>20</v>
      </c>
      <c r="E121" s="13">
        <v>1</v>
      </c>
      <c r="F121" s="13">
        <v>3</v>
      </c>
      <c r="G121" s="12" t="s">
        <v>20</v>
      </c>
      <c r="H121" s="12" t="s">
        <v>20</v>
      </c>
      <c r="I121" s="13">
        <v>1</v>
      </c>
      <c r="J121" s="12" t="s">
        <v>20</v>
      </c>
      <c r="K121" s="19">
        <f>=SUM(C121:J121)</f>
      </c>
      <c r="M121" s="12" t="s">
        <v>20</v>
      </c>
      <c r="N121" s="12" t="s">
        <v>20</v>
      </c>
      <c r="O121" s="12" t="s">
        <v>20</v>
      </c>
      <c r="P121" s="12" t="s">
        <v>20</v>
      </c>
      <c r="Q121" s="12" t="s">
        <v>20</v>
      </c>
      <c r="R121" s="12" t="s">
        <v>20</v>
      </c>
      <c r="S121" s="12" t="s">
        <v>20</v>
      </c>
      <c r="T121" s="12" t="s">
        <v>20</v>
      </c>
      <c r="U121" s="19">
        <f>=SUM(M121:T121)</f>
      </c>
      <c r="W121" s="12" t="s">
        <v>20</v>
      </c>
      <c r="X121" s="12" t="s">
        <v>20</v>
      </c>
      <c r="Y121" s="12" t="s">
        <v>20</v>
      </c>
      <c r="Z121" s="12" t="s">
        <v>20</v>
      </c>
      <c r="AA121" s="12" t="s">
        <v>20</v>
      </c>
      <c r="AB121" s="12" t="s">
        <v>20</v>
      </c>
      <c r="AC121" s="12" t="s">
        <v>20</v>
      </c>
      <c r="AD121" s="12" t="s">
        <v>20</v>
      </c>
      <c r="AE121" s="19">
        <f>(U121/K121)*100</f>
      </c>
    </row>
    <row r="122">
      <c r="A122" s="43" t="s">
        <v>262</v>
      </c>
      <c r="B122" s="12" t="s">
        <v>263</v>
      </c>
      <c r="C122" s="13">
        <v>1</v>
      </c>
      <c r="D122" s="12" t="s">
        <v>20</v>
      </c>
      <c r="E122" s="12" t="s">
        <v>20</v>
      </c>
      <c r="F122" s="12" t="s">
        <v>20</v>
      </c>
      <c r="G122" s="13">
        <v>2</v>
      </c>
      <c r="H122" s="13">
        <v>1</v>
      </c>
      <c r="I122" s="12" t="s">
        <v>20</v>
      </c>
      <c r="J122" s="13">
        <v>1</v>
      </c>
      <c r="K122" s="19">
        <f>=SUM(C122:J122)</f>
      </c>
      <c r="M122" s="12" t="s">
        <v>20</v>
      </c>
      <c r="N122" s="12" t="s">
        <v>20</v>
      </c>
      <c r="O122" s="12" t="s">
        <v>20</v>
      </c>
      <c r="P122" s="12" t="s">
        <v>20</v>
      </c>
      <c r="Q122" s="12" t="s">
        <v>20</v>
      </c>
      <c r="R122" s="12" t="s">
        <v>20</v>
      </c>
      <c r="S122" s="12" t="s">
        <v>20</v>
      </c>
      <c r="T122" s="12" t="s">
        <v>20</v>
      </c>
      <c r="U122" s="19">
        <f>=SUM(M122:T122)</f>
      </c>
      <c r="W122" s="12" t="s">
        <v>20</v>
      </c>
      <c r="X122" s="12" t="s">
        <v>20</v>
      </c>
      <c r="Y122" s="12" t="s">
        <v>20</v>
      </c>
      <c r="Z122" s="12" t="s">
        <v>20</v>
      </c>
      <c r="AA122" s="12" t="s">
        <v>20</v>
      </c>
      <c r="AB122" s="12" t="s">
        <v>20</v>
      </c>
      <c r="AC122" s="12" t="s">
        <v>20</v>
      </c>
      <c r="AD122" s="12" t="s">
        <v>20</v>
      </c>
      <c r="AE122" s="19">
        <f>(U122/K122)*100</f>
      </c>
    </row>
    <row r="123">
      <c r="A123" s="43" t="s">
        <v>264</v>
      </c>
      <c r="B123" s="12" t="s">
        <v>265</v>
      </c>
      <c r="C123" s="13">
        <v>48</v>
      </c>
      <c r="D123" s="13">
        <v>39</v>
      </c>
      <c r="E123" s="13">
        <v>41</v>
      </c>
      <c r="F123" s="13">
        <v>44</v>
      </c>
      <c r="G123" s="13">
        <v>40</v>
      </c>
      <c r="H123" s="13">
        <v>45</v>
      </c>
      <c r="I123" s="13">
        <v>30</v>
      </c>
      <c r="J123" s="13">
        <v>4</v>
      </c>
      <c r="K123" s="19">
        <f>=SUM(C123:J123)</f>
      </c>
      <c r="M123" s="12" t="s">
        <v>20</v>
      </c>
      <c r="N123" s="12" t="s">
        <v>20</v>
      </c>
      <c r="O123" s="12" t="s">
        <v>20</v>
      </c>
      <c r="P123" s="12" t="s">
        <v>20</v>
      </c>
      <c r="Q123" s="12" t="s">
        <v>20</v>
      </c>
      <c r="R123" s="13">
        <v>1</v>
      </c>
      <c r="S123" s="12" t="s">
        <v>20</v>
      </c>
      <c r="T123" s="12" t="s">
        <v>20</v>
      </c>
      <c r="U123" s="19">
        <f>=SUM(M123:T123)</f>
      </c>
      <c r="W123" s="12" t="s">
        <v>20</v>
      </c>
      <c r="X123" s="12" t="s">
        <v>20</v>
      </c>
      <c r="Y123" s="12" t="s">
        <v>20</v>
      </c>
      <c r="Z123" s="12" t="s">
        <v>20</v>
      </c>
      <c r="AA123" s="12" t="s">
        <v>20</v>
      </c>
      <c r="AB123" s="12">
        <v>2</v>
      </c>
      <c r="AC123" s="12" t="s">
        <v>20</v>
      </c>
      <c r="AD123" s="12" t="s">
        <v>20</v>
      </c>
      <c r="AE123" s="19">
        <f>(U123/K123)*100</f>
      </c>
    </row>
    <row r="124">
      <c r="A124" s="43" t="s">
        <v>266</v>
      </c>
      <c r="B124" s="12" t="s">
        <v>267</v>
      </c>
      <c r="C124" s="12" t="s">
        <v>20</v>
      </c>
      <c r="D124" s="12" t="s">
        <v>20</v>
      </c>
      <c r="E124" s="12" t="s">
        <v>20</v>
      </c>
      <c r="F124" s="12" t="s">
        <v>20</v>
      </c>
      <c r="G124" s="12" t="s">
        <v>20</v>
      </c>
      <c r="H124" s="12" t="s">
        <v>20</v>
      </c>
      <c r="I124" s="12" t="s">
        <v>20</v>
      </c>
      <c r="J124" s="12" t="s">
        <v>20</v>
      </c>
      <c r="K124" s="19">
        <f>=SUM(C124:J124)</f>
      </c>
      <c r="M124" s="12" t="s">
        <v>20</v>
      </c>
      <c r="N124" s="12" t="s">
        <v>20</v>
      </c>
      <c r="O124" s="12" t="s">
        <v>20</v>
      </c>
      <c r="P124" s="12" t="s">
        <v>20</v>
      </c>
      <c r="Q124" s="12" t="s">
        <v>20</v>
      </c>
      <c r="R124" s="12" t="s">
        <v>20</v>
      </c>
      <c r="S124" s="12" t="s">
        <v>20</v>
      </c>
      <c r="T124" s="12" t="s">
        <v>20</v>
      </c>
      <c r="U124" s="19">
        <f>=SUM(M124:T124)</f>
      </c>
      <c r="W124" s="12" t="s">
        <v>20</v>
      </c>
      <c r="X124" s="12" t="s">
        <v>20</v>
      </c>
      <c r="Y124" s="12" t="s">
        <v>20</v>
      </c>
      <c r="Z124" s="12" t="s">
        <v>20</v>
      </c>
      <c r="AA124" s="12" t="s">
        <v>20</v>
      </c>
      <c r="AB124" s="12" t="s">
        <v>20</v>
      </c>
      <c r="AC124" s="12" t="s">
        <v>20</v>
      </c>
      <c r="AD124" s="12" t="s">
        <v>20</v>
      </c>
      <c r="AE124" s="19">
        <f>(U124/K124)*100</f>
      </c>
    </row>
    <row r="125">
      <c r="A125" s="43" t="s">
        <v>268</v>
      </c>
      <c r="B125" s="12" t="s">
        <v>269</v>
      </c>
      <c r="C125" s="13">
        <v>5</v>
      </c>
      <c r="D125" s="13">
        <v>6</v>
      </c>
      <c r="E125" s="13">
        <v>5</v>
      </c>
      <c r="F125" s="13">
        <v>6</v>
      </c>
      <c r="G125" s="13">
        <v>5</v>
      </c>
      <c r="H125" s="13">
        <v>4</v>
      </c>
      <c r="I125" s="13">
        <v>4</v>
      </c>
      <c r="J125" s="12" t="s">
        <v>20</v>
      </c>
      <c r="K125" s="19">
        <f>=SUM(C125:J125)</f>
      </c>
      <c r="M125" s="12" t="s">
        <v>20</v>
      </c>
      <c r="N125" s="12" t="s">
        <v>20</v>
      </c>
      <c r="O125" s="12" t="s">
        <v>20</v>
      </c>
      <c r="P125" s="12" t="s">
        <v>20</v>
      </c>
      <c r="Q125" s="12" t="s">
        <v>20</v>
      </c>
      <c r="R125" s="12" t="s">
        <v>20</v>
      </c>
      <c r="S125" s="12" t="s">
        <v>20</v>
      </c>
      <c r="T125" s="12" t="s">
        <v>20</v>
      </c>
      <c r="U125" s="19">
        <f>=SUM(M125:T125)</f>
      </c>
      <c r="W125" s="12" t="s">
        <v>20</v>
      </c>
      <c r="X125" s="12" t="s">
        <v>20</v>
      </c>
      <c r="Y125" s="12" t="s">
        <v>20</v>
      </c>
      <c r="Z125" s="12" t="s">
        <v>20</v>
      </c>
      <c r="AA125" s="12" t="s">
        <v>20</v>
      </c>
      <c r="AB125" s="12" t="s">
        <v>20</v>
      </c>
      <c r="AC125" s="12" t="s">
        <v>20</v>
      </c>
      <c r="AD125" s="12" t="s">
        <v>20</v>
      </c>
      <c r="AE125" s="19">
        <f>(U125/K125)*100</f>
      </c>
    </row>
    <row r="126">
      <c r="A126" s="43" t="s">
        <v>270</v>
      </c>
      <c r="B126" s="12" t="s">
        <v>271</v>
      </c>
      <c r="C126" s="13">
        <v>4</v>
      </c>
      <c r="D126" s="13">
        <v>5</v>
      </c>
      <c r="E126" s="13">
        <v>3</v>
      </c>
      <c r="F126" s="13">
        <v>2</v>
      </c>
      <c r="G126" s="13">
        <v>8</v>
      </c>
      <c r="H126" s="13">
        <v>3</v>
      </c>
      <c r="I126" s="12" t="s">
        <v>20</v>
      </c>
      <c r="J126" s="13">
        <v>1</v>
      </c>
      <c r="K126" s="19">
        <f>=SUM(C126:J126)</f>
      </c>
      <c r="M126" s="13">
        <v>2</v>
      </c>
      <c r="N126" s="12" t="s">
        <v>20</v>
      </c>
      <c r="O126" s="12" t="s">
        <v>20</v>
      </c>
      <c r="P126" s="12" t="s">
        <v>20</v>
      </c>
      <c r="Q126" s="13">
        <v>1</v>
      </c>
      <c r="R126" s="13">
        <v>2</v>
      </c>
      <c r="S126" s="12" t="s">
        <v>20</v>
      </c>
      <c r="T126" s="12" t="s">
        <v>20</v>
      </c>
      <c r="U126" s="19">
        <f>=SUM(M126:T126)</f>
      </c>
      <c r="W126" s="12">
        <v>50</v>
      </c>
      <c r="X126" s="12" t="s">
        <v>20</v>
      </c>
      <c r="Y126" s="12" t="s">
        <v>20</v>
      </c>
      <c r="Z126" s="12" t="s">
        <v>20</v>
      </c>
      <c r="AA126" s="12">
        <v>12</v>
      </c>
      <c r="AB126" s="12">
        <v>67</v>
      </c>
      <c r="AC126" s="12" t="s">
        <v>20</v>
      </c>
      <c r="AD126" s="12" t="s">
        <v>20</v>
      </c>
      <c r="AE126" s="19">
        <f>(U126/K126)*100</f>
      </c>
    </row>
    <row r="127">
      <c r="A127" s="43" t="s">
        <v>272</v>
      </c>
      <c r="B127" s="12" t="s">
        <v>273</v>
      </c>
      <c r="C127" s="13">
        <v>13</v>
      </c>
      <c r="D127" s="13">
        <v>16</v>
      </c>
      <c r="E127" s="13">
        <v>20</v>
      </c>
      <c r="F127" s="13">
        <v>13</v>
      </c>
      <c r="G127" s="13">
        <v>10</v>
      </c>
      <c r="H127" s="13">
        <v>8</v>
      </c>
      <c r="I127" s="13">
        <v>9</v>
      </c>
      <c r="J127" s="12" t="s">
        <v>20</v>
      </c>
      <c r="K127" s="19">
        <f>=SUM(C127:J127)</f>
      </c>
      <c r="M127" s="12" t="s">
        <v>20</v>
      </c>
      <c r="N127" s="13">
        <v>1</v>
      </c>
      <c r="O127" s="12" t="s">
        <v>20</v>
      </c>
      <c r="P127" s="12" t="s">
        <v>20</v>
      </c>
      <c r="Q127" s="12" t="s">
        <v>20</v>
      </c>
      <c r="R127" s="12" t="s">
        <v>20</v>
      </c>
      <c r="S127" s="12" t="s">
        <v>20</v>
      </c>
      <c r="T127" s="12" t="s">
        <v>20</v>
      </c>
      <c r="U127" s="19">
        <f>=SUM(M127:T127)</f>
      </c>
      <c r="W127" s="12" t="s">
        <v>20</v>
      </c>
      <c r="X127" s="12">
        <v>6</v>
      </c>
      <c r="Y127" s="12" t="s">
        <v>20</v>
      </c>
      <c r="Z127" s="12" t="s">
        <v>20</v>
      </c>
      <c r="AA127" s="12" t="s">
        <v>20</v>
      </c>
      <c r="AB127" s="12" t="s">
        <v>20</v>
      </c>
      <c r="AC127" s="12" t="s">
        <v>20</v>
      </c>
      <c r="AD127" s="12" t="s">
        <v>20</v>
      </c>
      <c r="AE127" s="19">
        <f>(U127/K127)*100</f>
      </c>
    </row>
    <row r="128">
      <c r="A128" s="43" t="s">
        <v>274</v>
      </c>
      <c r="B128" s="12" t="s">
        <v>275</v>
      </c>
      <c r="C128" s="12" t="s">
        <v>20</v>
      </c>
      <c r="D128" s="12" t="s">
        <v>20</v>
      </c>
      <c r="E128" s="12" t="s">
        <v>20</v>
      </c>
      <c r="F128" s="12" t="s">
        <v>20</v>
      </c>
      <c r="G128" s="12" t="s">
        <v>20</v>
      </c>
      <c r="H128" s="12" t="s">
        <v>20</v>
      </c>
      <c r="I128" s="12" t="s">
        <v>20</v>
      </c>
      <c r="J128" s="12" t="s">
        <v>20</v>
      </c>
      <c r="K128" s="19">
        <f>=SUM(C128:J128)</f>
      </c>
      <c r="M128" s="12" t="s">
        <v>20</v>
      </c>
      <c r="N128" s="12" t="s">
        <v>20</v>
      </c>
      <c r="O128" s="12" t="s">
        <v>20</v>
      </c>
      <c r="P128" s="12" t="s">
        <v>20</v>
      </c>
      <c r="Q128" s="12" t="s">
        <v>20</v>
      </c>
      <c r="R128" s="12" t="s">
        <v>20</v>
      </c>
      <c r="S128" s="12" t="s">
        <v>20</v>
      </c>
      <c r="T128" s="12" t="s">
        <v>20</v>
      </c>
      <c r="U128" s="19">
        <f>=SUM(M128:T128)</f>
      </c>
      <c r="W128" s="12" t="s">
        <v>20</v>
      </c>
      <c r="X128" s="12" t="s">
        <v>20</v>
      </c>
      <c r="Y128" s="12" t="s">
        <v>20</v>
      </c>
      <c r="Z128" s="12" t="s">
        <v>20</v>
      </c>
      <c r="AA128" s="12" t="s">
        <v>20</v>
      </c>
      <c r="AB128" s="12" t="s">
        <v>20</v>
      </c>
      <c r="AC128" s="12" t="s">
        <v>20</v>
      </c>
      <c r="AD128" s="12" t="s">
        <v>20</v>
      </c>
      <c r="AE128" s="19">
        <f>(U128/K128)*100</f>
      </c>
    </row>
    <row r="129">
      <c r="B129" s="18" t="s">
        <v>245</v>
      </c>
      <c r="C129" s="19">
        <f>=SUM(C114:C128)</f>
      </c>
      <c r="D129" s="19">
        <f>=SUM(D114:D128)</f>
      </c>
      <c r="E129" s="19">
        <f>=SUM(E114:E128)</f>
      </c>
      <c r="F129" s="19">
        <f>=SUM(F114:F128)</f>
      </c>
      <c r="G129" s="19">
        <f>=SUM(G114:G128)</f>
      </c>
      <c r="H129" s="19">
        <f>=SUM(H114:H128)</f>
      </c>
      <c r="I129" s="19">
        <f>=SUM(I114:I128)</f>
      </c>
      <c r="J129" s="19">
        <f>=SUM(J114:J128)</f>
      </c>
      <c r="K129" s="19">
        <f>=SUM(C129:J129)</f>
      </c>
      <c r="M129" s="19">
        <f>=SUM(M114:M128)</f>
      </c>
      <c r="N129" s="19">
        <f>=SUM(N114:N128)</f>
      </c>
      <c r="O129" s="19">
        <f>=SUM(O114:O128)</f>
      </c>
      <c r="P129" s="19">
        <f>=SUM(P114:P128)</f>
      </c>
      <c r="Q129" s="19">
        <f>=SUM(Q114:Q128)</f>
      </c>
      <c r="R129" s="19">
        <f>=SUM(R114:R128)</f>
      </c>
      <c r="S129" s="19">
        <f>=SUM(S114:S128)</f>
      </c>
      <c r="T129" s="19">
        <f>=SUM(T114:T128)</f>
      </c>
      <c r="U129" s="19">
        <f>=SUM(M129:T129)</f>
      </c>
      <c r="W129" s="19">
        <f>=SUM(W114:W128)/15</f>
      </c>
      <c r="X129" s="19">
        <f>=SUM(X114:X128)/15</f>
      </c>
      <c r="Y129" s="19">
        <f>=SUM(Y114:Y128)/15</f>
      </c>
      <c r="Z129" s="19">
        <f>=SUM(Z114:Z128)/15</f>
      </c>
      <c r="AA129" s="19">
        <f>=SUM(AA114:AA128)/15</f>
      </c>
      <c r="AB129" s="19">
        <f>=SUM(AB114:AB128)/15</f>
      </c>
      <c r="AC129" s="19">
        <f>=SUM(AC114:AC128)/15</f>
      </c>
      <c r="AD129" s="19">
        <f>=SUM(AD114:AD128)/15</f>
      </c>
      <c r="AE129" s="19">
        <f>(U129/K129*100)</f>
      </c>
    </row>
    <row r="131">
      <c r="A131" s="11" t="s">
        <v>22</v>
      </c>
    </row>
    <row r="132">
      <c r="A132" s="43" t="s">
        <v>20</v>
      </c>
      <c r="B132" s="12" t="s">
        <v>277</v>
      </c>
      <c r="C132" s="13">
        <v>40</v>
      </c>
      <c r="D132" s="13">
        <v>36</v>
      </c>
      <c r="E132" s="13">
        <v>39</v>
      </c>
      <c r="F132" s="13">
        <v>29</v>
      </c>
      <c r="G132" s="13">
        <v>31</v>
      </c>
      <c r="H132" s="13">
        <v>22</v>
      </c>
      <c r="I132" s="13">
        <v>16</v>
      </c>
      <c r="J132" s="12" t="s">
        <v>20</v>
      </c>
      <c r="K132" s="19">
        <f>=SUM(C132:J132)</f>
      </c>
      <c r="M132" s="13">
        <v>4</v>
      </c>
      <c r="N132" s="13">
        <v>1</v>
      </c>
      <c r="O132" s="13">
        <v>6</v>
      </c>
      <c r="P132" s="12" t="s">
        <v>20</v>
      </c>
      <c r="Q132" s="13">
        <v>2</v>
      </c>
      <c r="R132" s="13">
        <v>4</v>
      </c>
      <c r="S132" s="12" t="s">
        <v>20</v>
      </c>
      <c r="T132" s="12" t="s">
        <v>20</v>
      </c>
      <c r="U132" s="19">
        <f>=SUM(M132:T132)</f>
      </c>
      <c r="W132" s="12">
        <v>10</v>
      </c>
      <c r="X132" s="12">
        <v>3</v>
      </c>
      <c r="Y132" s="12">
        <v>15</v>
      </c>
      <c r="Z132" s="12" t="s">
        <v>20</v>
      </c>
      <c r="AA132" s="12">
        <v>6</v>
      </c>
      <c r="AB132" s="12">
        <v>18</v>
      </c>
      <c r="AC132" s="12" t="s">
        <v>20</v>
      </c>
      <c r="AD132" s="12" t="s">
        <v>20</v>
      </c>
      <c r="AE132" s="19">
        <f>(U132/K132)*100</f>
      </c>
    </row>
    <row r="133">
      <c r="A133" s="43" t="s">
        <v>20</v>
      </c>
      <c r="B133" s="12" t="s">
        <v>278</v>
      </c>
      <c r="C133" s="12" t="s">
        <v>20</v>
      </c>
      <c r="D133" s="12" t="s">
        <v>20</v>
      </c>
      <c r="E133" s="12" t="s">
        <v>20</v>
      </c>
      <c r="F133" s="12" t="s">
        <v>20</v>
      </c>
      <c r="G133" s="12" t="s">
        <v>20</v>
      </c>
      <c r="H133" s="12" t="s">
        <v>20</v>
      </c>
      <c r="I133" s="12" t="s">
        <v>20</v>
      </c>
      <c r="J133" s="12" t="s">
        <v>20</v>
      </c>
      <c r="K133" s="19">
        <f>=SUM(C133:J133)</f>
      </c>
      <c r="M133" s="12" t="s">
        <v>20</v>
      </c>
      <c r="N133" s="12" t="s">
        <v>20</v>
      </c>
      <c r="O133" s="12" t="s">
        <v>20</v>
      </c>
      <c r="P133" s="12" t="s">
        <v>20</v>
      </c>
      <c r="Q133" s="12" t="s">
        <v>20</v>
      </c>
      <c r="R133" s="12" t="s">
        <v>20</v>
      </c>
      <c r="S133" s="12" t="s">
        <v>20</v>
      </c>
      <c r="T133" s="12" t="s">
        <v>20</v>
      </c>
      <c r="U133" s="19">
        <f>=SUM(M133:T133)</f>
      </c>
      <c r="W133" s="12" t="s">
        <v>20</v>
      </c>
      <c r="X133" s="12" t="s">
        <v>20</v>
      </c>
      <c r="Y133" s="12" t="s">
        <v>20</v>
      </c>
      <c r="Z133" s="12" t="s">
        <v>20</v>
      </c>
      <c r="AA133" s="12" t="s">
        <v>20</v>
      </c>
      <c r="AB133" s="12" t="s">
        <v>20</v>
      </c>
      <c r="AC133" s="12" t="s">
        <v>20</v>
      </c>
      <c r="AD133" s="12" t="s">
        <v>20</v>
      </c>
      <c r="AE133" s="19">
        <f>(U133/K133)*100</f>
      </c>
    </row>
    <row r="134">
      <c r="A134" s="43" t="s">
        <v>20</v>
      </c>
      <c r="B134" s="12" t="s">
        <v>279</v>
      </c>
      <c r="C134" s="13">
        <v>83</v>
      </c>
      <c r="D134" s="13">
        <v>77</v>
      </c>
      <c r="E134" s="13">
        <v>91</v>
      </c>
      <c r="F134" s="13">
        <v>73</v>
      </c>
      <c r="G134" s="13">
        <v>90</v>
      </c>
      <c r="H134" s="13">
        <v>73</v>
      </c>
      <c r="I134" s="13">
        <v>74</v>
      </c>
      <c r="J134" s="13">
        <v>15</v>
      </c>
      <c r="K134" s="19">
        <f>=SUM(C134:J134)</f>
      </c>
      <c r="M134" s="13">
        <v>1</v>
      </c>
      <c r="N134" s="13">
        <v>2</v>
      </c>
      <c r="O134" s="13">
        <v>6</v>
      </c>
      <c r="P134" s="13">
        <v>3</v>
      </c>
      <c r="Q134" s="13">
        <v>1</v>
      </c>
      <c r="R134" s="13">
        <v>2</v>
      </c>
      <c r="S134" s="12" t="s">
        <v>20</v>
      </c>
      <c r="T134" s="12" t="s">
        <v>20</v>
      </c>
      <c r="U134" s="19">
        <f>=SUM(M134:T134)</f>
      </c>
      <c r="W134" s="12">
        <v>1</v>
      </c>
      <c r="X134" s="12">
        <v>3</v>
      </c>
      <c r="Y134" s="12">
        <v>7</v>
      </c>
      <c r="Z134" s="12">
        <v>4</v>
      </c>
      <c r="AA134" s="12">
        <v>1</v>
      </c>
      <c r="AB134" s="12">
        <v>3</v>
      </c>
      <c r="AC134" s="12" t="s">
        <v>20</v>
      </c>
      <c r="AD134" s="12" t="s">
        <v>20</v>
      </c>
      <c r="AE134" s="19">
        <f>(U134/K134)*100</f>
      </c>
    </row>
    <row r="135">
      <c r="A135" s="43" t="s">
        <v>20</v>
      </c>
      <c r="B135" s="12" t="s">
        <v>280</v>
      </c>
      <c r="C135" s="13">
        <v>12</v>
      </c>
      <c r="D135" s="13">
        <v>16</v>
      </c>
      <c r="E135" s="13">
        <v>12</v>
      </c>
      <c r="F135" s="13">
        <v>9</v>
      </c>
      <c r="G135" s="13">
        <v>10</v>
      </c>
      <c r="H135" s="13">
        <v>6</v>
      </c>
      <c r="I135" s="13">
        <v>9</v>
      </c>
      <c r="J135" s="13">
        <v>1</v>
      </c>
      <c r="K135" s="19">
        <f>=SUM(C135:J135)</f>
      </c>
      <c r="M135" s="12" t="s">
        <v>20</v>
      </c>
      <c r="N135" s="12" t="s">
        <v>20</v>
      </c>
      <c r="O135" s="12" t="s">
        <v>20</v>
      </c>
      <c r="P135" s="13">
        <v>2</v>
      </c>
      <c r="Q135" s="13">
        <v>1</v>
      </c>
      <c r="R135" s="12" t="s">
        <v>20</v>
      </c>
      <c r="S135" s="12" t="s">
        <v>20</v>
      </c>
      <c r="T135" s="12" t="s">
        <v>20</v>
      </c>
      <c r="U135" s="19">
        <f>=SUM(M135:T135)</f>
      </c>
      <c r="W135" s="12" t="s">
        <v>20</v>
      </c>
      <c r="X135" s="12" t="s">
        <v>20</v>
      </c>
      <c r="Y135" s="12" t="s">
        <v>20</v>
      </c>
      <c r="Z135" s="12">
        <v>22</v>
      </c>
      <c r="AA135" s="12">
        <v>10</v>
      </c>
      <c r="AB135" s="12" t="s">
        <v>20</v>
      </c>
      <c r="AC135" s="12" t="s">
        <v>20</v>
      </c>
      <c r="AD135" s="12" t="s">
        <v>20</v>
      </c>
      <c r="AE135" s="19">
        <f>(U135/K135)*100</f>
      </c>
    </row>
    <row r="136">
      <c r="A136" s="43" t="s">
        <v>20</v>
      </c>
      <c r="B136" s="12" t="s">
        <v>281</v>
      </c>
      <c r="C136" s="13">
        <v>52</v>
      </c>
      <c r="D136" s="13">
        <v>52</v>
      </c>
      <c r="E136" s="13">
        <v>42</v>
      </c>
      <c r="F136" s="13">
        <v>49</v>
      </c>
      <c r="G136" s="13">
        <v>45</v>
      </c>
      <c r="H136" s="13">
        <v>45</v>
      </c>
      <c r="I136" s="13">
        <v>35</v>
      </c>
      <c r="J136" s="13">
        <v>9</v>
      </c>
      <c r="K136" s="19">
        <f>=SUM(C136:J136)</f>
      </c>
      <c r="M136" s="12" t="s">
        <v>20</v>
      </c>
      <c r="N136" s="13">
        <v>1</v>
      </c>
      <c r="O136" s="13">
        <v>1</v>
      </c>
      <c r="P136" s="13">
        <v>2</v>
      </c>
      <c r="Q136" s="13">
        <v>1</v>
      </c>
      <c r="R136" s="13">
        <v>1</v>
      </c>
      <c r="S136" s="12" t="s">
        <v>20</v>
      </c>
      <c r="T136" s="12" t="s">
        <v>20</v>
      </c>
      <c r="U136" s="19">
        <f>=SUM(M136:T136)</f>
      </c>
      <c r="W136" s="12" t="s">
        <v>20</v>
      </c>
      <c r="X136" s="12">
        <v>2</v>
      </c>
      <c r="Y136" s="12">
        <v>2</v>
      </c>
      <c r="Z136" s="12">
        <v>4</v>
      </c>
      <c r="AA136" s="12">
        <v>2</v>
      </c>
      <c r="AB136" s="12">
        <v>2</v>
      </c>
      <c r="AC136" s="12" t="s">
        <v>20</v>
      </c>
      <c r="AD136" s="12" t="s">
        <v>20</v>
      </c>
      <c r="AE136" s="19">
        <f>(U136/K136)*100</f>
      </c>
    </row>
    <row r="137">
      <c r="A137" s="43" t="s">
        <v>20</v>
      </c>
      <c r="B137" s="12" t="s">
        <v>282</v>
      </c>
      <c r="C137" s="13">
        <v>47</v>
      </c>
      <c r="D137" s="13">
        <v>13</v>
      </c>
      <c r="E137" s="13">
        <v>53</v>
      </c>
      <c r="F137" s="13">
        <v>42</v>
      </c>
      <c r="G137" s="13">
        <v>28</v>
      </c>
      <c r="H137" s="13">
        <v>28</v>
      </c>
      <c r="I137" s="13">
        <v>43</v>
      </c>
      <c r="J137" s="12" t="s">
        <v>20</v>
      </c>
      <c r="K137" s="19">
        <f>=SUM(C137:J137)</f>
      </c>
      <c r="M137" s="12" t="s">
        <v>20</v>
      </c>
      <c r="N137" s="12" t="s">
        <v>20</v>
      </c>
      <c r="O137" s="12" t="s">
        <v>20</v>
      </c>
      <c r="P137" s="12" t="s">
        <v>20</v>
      </c>
      <c r="Q137" s="12" t="s">
        <v>20</v>
      </c>
      <c r="R137" s="12" t="s">
        <v>20</v>
      </c>
      <c r="S137" s="12" t="s">
        <v>20</v>
      </c>
      <c r="T137" s="12" t="s">
        <v>20</v>
      </c>
      <c r="U137" s="19">
        <f>=SUM(M137:T137)</f>
      </c>
      <c r="W137" s="12" t="s">
        <v>20</v>
      </c>
      <c r="X137" s="12" t="s">
        <v>20</v>
      </c>
      <c r="Y137" s="12" t="s">
        <v>20</v>
      </c>
      <c r="Z137" s="12" t="s">
        <v>20</v>
      </c>
      <c r="AA137" s="12" t="s">
        <v>20</v>
      </c>
      <c r="AB137" s="12" t="s">
        <v>20</v>
      </c>
      <c r="AC137" s="12" t="s">
        <v>20</v>
      </c>
      <c r="AD137" s="12" t="s">
        <v>20</v>
      </c>
      <c r="AE137" s="19">
        <f>(U137/K137)*100</f>
      </c>
    </row>
    <row r="138">
      <c r="A138" s="43" t="s">
        <v>20</v>
      </c>
      <c r="B138" s="12" t="s">
        <v>283</v>
      </c>
      <c r="C138" s="13">
        <v>195</v>
      </c>
      <c r="D138" s="13">
        <v>221</v>
      </c>
      <c r="E138" s="13">
        <v>191</v>
      </c>
      <c r="F138" s="13">
        <v>191</v>
      </c>
      <c r="G138" s="13">
        <v>212</v>
      </c>
      <c r="H138" s="13">
        <v>218</v>
      </c>
      <c r="I138" s="13">
        <v>171</v>
      </c>
      <c r="J138" s="13">
        <v>28</v>
      </c>
      <c r="K138" s="19">
        <f>=SUM(C138:J138)</f>
      </c>
      <c r="M138" s="13">
        <v>6</v>
      </c>
      <c r="N138" s="13">
        <v>9</v>
      </c>
      <c r="O138" s="13">
        <v>2</v>
      </c>
      <c r="P138" s="13">
        <v>5</v>
      </c>
      <c r="Q138" s="13">
        <v>4</v>
      </c>
      <c r="R138" s="13">
        <v>6</v>
      </c>
      <c r="S138" s="13">
        <v>2</v>
      </c>
      <c r="T138" s="12" t="s">
        <v>20</v>
      </c>
      <c r="U138" s="19">
        <f>=SUM(M138:T138)</f>
      </c>
      <c r="W138" s="12">
        <v>3</v>
      </c>
      <c r="X138" s="12">
        <v>4</v>
      </c>
      <c r="Y138" s="12">
        <v>1</v>
      </c>
      <c r="Z138" s="12">
        <v>3</v>
      </c>
      <c r="AA138" s="12">
        <v>2</v>
      </c>
      <c r="AB138" s="12">
        <v>3</v>
      </c>
      <c r="AC138" s="12">
        <v>1</v>
      </c>
      <c r="AD138" s="12" t="s">
        <v>20</v>
      </c>
      <c r="AE138" s="19">
        <f>(U138/K138)*100</f>
      </c>
    </row>
    <row r="139">
      <c r="A139" s="43" t="s">
        <v>20</v>
      </c>
      <c r="B139" s="12" t="s">
        <v>284</v>
      </c>
      <c r="C139" s="13">
        <v>75</v>
      </c>
      <c r="D139" s="13">
        <v>73</v>
      </c>
      <c r="E139" s="13">
        <v>79</v>
      </c>
      <c r="F139" s="13">
        <v>71</v>
      </c>
      <c r="G139" s="13">
        <v>65</v>
      </c>
      <c r="H139" s="13">
        <v>75</v>
      </c>
      <c r="I139" s="13">
        <v>76</v>
      </c>
      <c r="J139" s="13">
        <v>9</v>
      </c>
      <c r="K139" s="19">
        <f>=SUM(C139:J139)</f>
      </c>
      <c r="M139" s="12" t="s">
        <v>20</v>
      </c>
      <c r="N139" s="13">
        <v>3</v>
      </c>
      <c r="O139" s="12" t="s">
        <v>20</v>
      </c>
      <c r="P139" s="13">
        <v>1</v>
      </c>
      <c r="Q139" s="12" t="s">
        <v>20</v>
      </c>
      <c r="R139" s="13">
        <v>2</v>
      </c>
      <c r="S139" s="12" t="s">
        <v>20</v>
      </c>
      <c r="T139" s="12" t="s">
        <v>20</v>
      </c>
      <c r="U139" s="19">
        <f>=SUM(M139:T139)</f>
      </c>
      <c r="W139" s="12" t="s">
        <v>20</v>
      </c>
      <c r="X139" s="12">
        <v>4</v>
      </c>
      <c r="Y139" s="12" t="s">
        <v>20</v>
      </c>
      <c r="Z139" s="12">
        <v>1</v>
      </c>
      <c r="AA139" s="12" t="s">
        <v>20</v>
      </c>
      <c r="AB139" s="12">
        <v>3</v>
      </c>
      <c r="AC139" s="12" t="s">
        <v>20</v>
      </c>
      <c r="AD139" s="12" t="s">
        <v>20</v>
      </c>
      <c r="AE139" s="19">
        <f>(U139/K139)*100</f>
      </c>
    </row>
    <row r="140">
      <c r="A140" s="43" t="s">
        <v>20</v>
      </c>
      <c r="B140" s="12" t="s">
        <v>285</v>
      </c>
      <c r="C140" s="13">
        <v>277</v>
      </c>
      <c r="D140" s="13">
        <v>279</v>
      </c>
      <c r="E140" s="13">
        <v>238</v>
      </c>
      <c r="F140" s="13">
        <v>234</v>
      </c>
      <c r="G140" s="13">
        <v>266</v>
      </c>
      <c r="H140" s="13">
        <v>308</v>
      </c>
      <c r="I140" s="13">
        <v>272</v>
      </c>
      <c r="J140" s="13">
        <v>15</v>
      </c>
      <c r="K140" s="19">
        <f>=SUM(C140:J140)</f>
      </c>
      <c r="M140" s="13">
        <v>3</v>
      </c>
      <c r="N140" s="13">
        <v>7</v>
      </c>
      <c r="O140" s="13">
        <v>2</v>
      </c>
      <c r="P140" s="13">
        <v>2</v>
      </c>
      <c r="Q140" s="13">
        <v>2</v>
      </c>
      <c r="R140" s="13">
        <v>1</v>
      </c>
      <c r="S140" s="13">
        <v>2</v>
      </c>
      <c r="T140" s="12" t="s">
        <v>20</v>
      </c>
      <c r="U140" s="19">
        <f>=SUM(M140:T140)</f>
      </c>
      <c r="W140" s="12">
        <v>1</v>
      </c>
      <c r="X140" s="12">
        <v>3</v>
      </c>
      <c r="Y140" s="12">
        <v>1</v>
      </c>
      <c r="Z140" s="12">
        <v>1</v>
      </c>
      <c r="AA140" s="12">
        <v>1</v>
      </c>
      <c r="AB140" s="12">
        <v>0</v>
      </c>
      <c r="AC140" s="12">
        <v>1</v>
      </c>
      <c r="AD140" s="12" t="s">
        <v>20</v>
      </c>
      <c r="AE140" s="19">
        <f>(U140/K140)*100</f>
      </c>
    </row>
    <row r="141">
      <c r="A141" s="43" t="s">
        <v>20</v>
      </c>
      <c r="B141" s="12" t="s">
        <v>286</v>
      </c>
      <c r="C141" s="13">
        <v>3</v>
      </c>
      <c r="D141" s="13">
        <v>5</v>
      </c>
      <c r="E141" s="13">
        <v>4</v>
      </c>
      <c r="F141" s="13">
        <v>7</v>
      </c>
      <c r="G141" s="13">
        <v>3</v>
      </c>
      <c r="H141" s="13">
        <v>3</v>
      </c>
      <c r="I141" s="13">
        <v>2</v>
      </c>
      <c r="J141" s="12" t="s">
        <v>20</v>
      </c>
      <c r="K141" s="19">
        <f>=SUM(C141:J141)</f>
      </c>
      <c r="M141" s="12" t="s">
        <v>20</v>
      </c>
      <c r="N141" s="12" t="s">
        <v>20</v>
      </c>
      <c r="O141" s="12" t="s">
        <v>20</v>
      </c>
      <c r="P141" s="12" t="s">
        <v>20</v>
      </c>
      <c r="Q141" s="12" t="s">
        <v>20</v>
      </c>
      <c r="R141" s="12" t="s">
        <v>20</v>
      </c>
      <c r="S141" s="12" t="s">
        <v>20</v>
      </c>
      <c r="T141" s="12" t="s">
        <v>20</v>
      </c>
      <c r="U141" s="19">
        <f>=SUM(M141:T141)</f>
      </c>
      <c r="W141" s="12" t="s">
        <v>20</v>
      </c>
      <c r="X141" s="12" t="s">
        <v>20</v>
      </c>
      <c r="Y141" s="12" t="s">
        <v>20</v>
      </c>
      <c r="Z141" s="12" t="s">
        <v>20</v>
      </c>
      <c r="AA141" s="12" t="s">
        <v>20</v>
      </c>
      <c r="AB141" s="12" t="s">
        <v>20</v>
      </c>
      <c r="AC141" s="12" t="s">
        <v>20</v>
      </c>
      <c r="AD141" s="12" t="s">
        <v>20</v>
      </c>
      <c r="AE141" s="19">
        <f>(U141/K141)*100</f>
      </c>
    </row>
    <row r="142">
      <c r="A142" s="43" t="s">
        <v>20</v>
      </c>
      <c r="B142" s="12" t="s">
        <v>287</v>
      </c>
      <c r="C142" s="13">
        <v>6</v>
      </c>
      <c r="D142" s="13">
        <v>10</v>
      </c>
      <c r="E142" s="13">
        <v>9</v>
      </c>
      <c r="F142" s="13">
        <v>7</v>
      </c>
      <c r="G142" s="13">
        <v>9</v>
      </c>
      <c r="H142" s="13">
        <v>12</v>
      </c>
      <c r="I142" s="13">
        <v>7</v>
      </c>
      <c r="J142" s="13">
        <v>1</v>
      </c>
      <c r="K142" s="19">
        <f>=SUM(C142:J142)</f>
      </c>
      <c r="M142" s="12" t="s">
        <v>20</v>
      </c>
      <c r="N142" s="12" t="s">
        <v>20</v>
      </c>
      <c r="O142" s="12" t="s">
        <v>20</v>
      </c>
      <c r="P142" s="12" t="s">
        <v>20</v>
      </c>
      <c r="Q142" s="12" t="s">
        <v>20</v>
      </c>
      <c r="R142" s="12" t="s">
        <v>20</v>
      </c>
      <c r="S142" s="12" t="s">
        <v>20</v>
      </c>
      <c r="T142" s="12" t="s">
        <v>20</v>
      </c>
      <c r="U142" s="19">
        <f>=SUM(M142:T142)</f>
      </c>
      <c r="W142" s="12" t="s">
        <v>20</v>
      </c>
      <c r="X142" s="12" t="s">
        <v>20</v>
      </c>
      <c r="Y142" s="12" t="s">
        <v>20</v>
      </c>
      <c r="Z142" s="12" t="s">
        <v>20</v>
      </c>
      <c r="AA142" s="12" t="s">
        <v>20</v>
      </c>
      <c r="AB142" s="12" t="s">
        <v>20</v>
      </c>
      <c r="AC142" s="12" t="s">
        <v>20</v>
      </c>
      <c r="AD142" s="12" t="s">
        <v>20</v>
      </c>
      <c r="AE142" s="19">
        <f>(U142/K142)*100</f>
      </c>
    </row>
    <row r="143">
      <c r="B143" s="18" t="s">
        <v>245</v>
      </c>
      <c r="C143" s="19">
        <f>=SUM(C132:C142)</f>
      </c>
      <c r="D143" s="19">
        <f>=SUM(D132:D142)</f>
      </c>
      <c r="E143" s="19">
        <f>=SUM(E132:E142)</f>
      </c>
      <c r="F143" s="19">
        <f>=SUM(F132:F142)</f>
      </c>
      <c r="G143" s="19">
        <f>=SUM(G132:G142)</f>
      </c>
      <c r="H143" s="19">
        <f>=SUM(H132:H142)</f>
      </c>
      <c r="I143" s="19">
        <f>=SUM(I132:I142)</f>
      </c>
      <c r="J143" s="19">
        <f>=SUM(J132:J142)</f>
      </c>
      <c r="K143" s="19">
        <f>=SUM(C143:J143)</f>
      </c>
      <c r="M143" s="19">
        <f>=SUM(M132:M142)</f>
      </c>
      <c r="N143" s="19">
        <f>=SUM(N132:N142)</f>
      </c>
      <c r="O143" s="19">
        <f>=SUM(O132:O142)</f>
      </c>
      <c r="P143" s="19">
        <f>=SUM(P132:P142)</f>
      </c>
      <c r="Q143" s="19">
        <f>=SUM(Q132:Q142)</f>
      </c>
      <c r="R143" s="19">
        <f>=SUM(R132:R142)</f>
      </c>
      <c r="S143" s="19">
        <f>=SUM(S132:S142)</f>
      </c>
      <c r="T143" s="19">
        <f>=SUM(T132:T142)</f>
      </c>
      <c r="U143" s="19">
        <f>=SUM(M143:T143)</f>
      </c>
      <c r="W143" s="19">
        <f>=SUM(W132:W142)/11</f>
      </c>
      <c r="X143" s="19">
        <f>=SUM(X132:X142)/11</f>
      </c>
      <c r="Y143" s="19">
        <f>=SUM(Y132:Y142)/11</f>
      </c>
      <c r="Z143" s="19">
        <f>=SUM(Z132:Z142)/11</f>
      </c>
      <c r="AA143" s="19">
        <f>=SUM(AA132:AA142)/11</f>
      </c>
      <c r="AB143" s="19">
        <f>=SUM(AB132:AB142)/11</f>
      </c>
      <c r="AC143" s="19">
        <f>=SUM(AC132:AC142)/11</f>
      </c>
      <c r="AD143" s="19">
        <f>=SUM(AD132:AD142)/11</f>
      </c>
      <c r="AE143" s="19">
        <f>(U143/K143*100)</f>
      </c>
    </row>
  </sheetData>
  <mergeCells>
    <mergeCell ref="C1:K1"/>
    <mergeCell ref="M1:U1"/>
    <mergeCell ref="W1:AE1"/>
    <mergeCell ref="A3:AE3"/>
    <mergeCell ref="A113:AE113"/>
    <mergeCell ref="A131:AE131"/>
  </mergeCells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Company>www.afma.co.za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AFMA</dc:creator>
  <dc:title>AFMA Total Salmonella Report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