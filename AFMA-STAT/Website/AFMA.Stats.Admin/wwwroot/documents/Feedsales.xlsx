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eedsales Statistics" sheetId="1" r:id="rId1"/>
    <sheet name="Raw Material Statistics" sheetId="2" r:id="rId3"/>
    <sheet name="Raw Material Usage" sheetId="3" r:id="rId4"/>
  </sheets>
  <calcPr fullCalcOnLoad="1"/>
</workbook>
</file>

<file path=xl/sharedStrings.xml><?xml version="1.0" encoding="utf-8"?>
<sst xmlns="http://schemas.openxmlformats.org/spreadsheetml/2006/main" count="412" uniqueCount="412">
  <si>
    <t xml:space="preserve">AFMA FEED SALES STATISTICS 
 JAN 2022 - JUL 2022</t>
  </si>
  <si>
    <t>JAN 2022</t>
  </si>
  <si>
    <t>FEB 2022</t>
  </si>
  <si>
    <t>MAR 2022</t>
  </si>
  <si>
    <t>APR 2022</t>
  </si>
  <si>
    <t>MAY 2022</t>
  </si>
  <si>
    <t>JUN 2022</t>
  </si>
  <si>
    <t>JUL 2022</t>
  </si>
  <si>
    <t>JUL 2021</t>
  </si>
  <si>
    <t>M on M % DIFF</t>
  </si>
  <si>
    <t>TOTAL YTD 2021/2022</t>
  </si>
  <si>
    <t>TOTAL YTD 2022/2023</t>
  </si>
  <si>
    <t>Y on Y % DIFF</t>
  </si>
  <si>
    <t>001</t>
  </si>
  <si>
    <t>Dairy Feed</t>
  </si>
  <si>
    <t>% GROWTH M-M</t>
  </si>
  <si>
    <t/>
  </si>
  <si>
    <t>038</t>
  </si>
  <si>
    <t>Milk replacement</t>
  </si>
  <si>
    <t>039</t>
  </si>
  <si>
    <t>High Fat Milk Replacement</t>
  </si>
  <si>
    <t>040</t>
  </si>
  <si>
    <t>Calf Starter Meal</t>
  </si>
  <si>
    <t>041</t>
  </si>
  <si>
    <t>Calf Growth Meal</t>
  </si>
  <si>
    <t>043</t>
  </si>
  <si>
    <t>Complete Dairy Feed</t>
  </si>
  <si>
    <t>045</t>
  </si>
  <si>
    <t>Dairy Meal</t>
  </si>
  <si>
    <t>002</t>
  </si>
  <si>
    <t>Beef &amp; Sheep Feed</t>
  </si>
  <si>
    <t>042</t>
  </si>
  <si>
    <t>Cattle Finisher</t>
  </si>
  <si>
    <t>135</t>
  </si>
  <si>
    <t>Complete Cattle Feed</t>
  </si>
  <si>
    <t>136</t>
  </si>
  <si>
    <t>Complete Sheep Feed</t>
  </si>
  <si>
    <t>047</t>
  </si>
  <si>
    <t>Bull Rations</t>
  </si>
  <si>
    <t>140</t>
  </si>
  <si>
    <t>Cattle Drought Feed</t>
  </si>
  <si>
    <t>141</t>
  </si>
  <si>
    <t>Sheep Drought Feed</t>
  </si>
  <si>
    <t>049</t>
  </si>
  <si>
    <t>Sheep Finisher</t>
  </si>
  <si>
    <t>050</t>
  </si>
  <si>
    <t>Ram, Ewe, Lamb Feed</t>
  </si>
  <si>
    <t>051</t>
  </si>
  <si>
    <t>Supplement Feeds Beef &amp; Sheep</t>
  </si>
  <si>
    <t>003</t>
  </si>
  <si>
    <t>Pig Feed</t>
  </si>
  <si>
    <t>052</t>
  </si>
  <si>
    <t>Pig Creep Meal</t>
  </si>
  <si>
    <t>053</t>
  </si>
  <si>
    <t>Pig Growth Meal</t>
  </si>
  <si>
    <t>054</t>
  </si>
  <si>
    <t>Pig Finisher Meal</t>
  </si>
  <si>
    <t>055</t>
  </si>
  <si>
    <t>Sow &amp; Boar Meal</t>
  </si>
  <si>
    <t>004</t>
  </si>
  <si>
    <t>Layer Feed</t>
  </si>
  <si>
    <t>056</t>
  </si>
  <si>
    <t>Poultry Laying Mash</t>
  </si>
  <si>
    <t>057</t>
  </si>
  <si>
    <t>All Mash for Layers</t>
  </si>
  <si>
    <t>058</t>
  </si>
  <si>
    <t>Poultry Growing Mash</t>
  </si>
  <si>
    <t>059</t>
  </si>
  <si>
    <t>Pullet Developer Mash</t>
  </si>
  <si>
    <t>060</t>
  </si>
  <si>
    <t>Chicken Starter Mash</t>
  </si>
  <si>
    <t>005</t>
  </si>
  <si>
    <t>Broiler Feed</t>
  </si>
  <si>
    <t>061</t>
  </si>
  <si>
    <t>Broiler All Mash</t>
  </si>
  <si>
    <t>062</t>
  </si>
  <si>
    <t>Broiler Pre-starter Mash</t>
  </si>
  <si>
    <t>063</t>
  </si>
  <si>
    <t>Broiler Starter Mash</t>
  </si>
  <si>
    <t>064</t>
  </si>
  <si>
    <t>Broiler Grower Mash</t>
  </si>
  <si>
    <t>065</t>
  </si>
  <si>
    <t>Broiler Finisher Mash</t>
  </si>
  <si>
    <t>150</t>
  </si>
  <si>
    <t>Broiler Withdrawal Feed</t>
  </si>
  <si>
    <t>006</t>
  </si>
  <si>
    <t>Horse Feed</t>
  </si>
  <si>
    <t>066</t>
  </si>
  <si>
    <t>067</t>
  </si>
  <si>
    <t>Horse Feed Growth</t>
  </si>
  <si>
    <t>007</t>
  </si>
  <si>
    <t>Dog Food</t>
  </si>
  <si>
    <t>068</t>
  </si>
  <si>
    <t>Dog Feed Dry</t>
  </si>
  <si>
    <t>069</t>
  </si>
  <si>
    <t>Dog Feed Canned</t>
  </si>
  <si>
    <t>071</t>
  </si>
  <si>
    <t>Dog Feed Semi-Dry</t>
  </si>
  <si>
    <t>008</t>
  </si>
  <si>
    <t>Other Feed</t>
  </si>
  <si>
    <t>110</t>
  </si>
  <si>
    <t>Ducks</t>
  </si>
  <si>
    <t>111</t>
  </si>
  <si>
    <t>Turkeys, quails and pheasants</t>
  </si>
  <si>
    <t>112</t>
  </si>
  <si>
    <t>Mixed Poultry Grain</t>
  </si>
  <si>
    <t>119</t>
  </si>
  <si>
    <t>Pigeons</t>
  </si>
  <si>
    <t>120</t>
  </si>
  <si>
    <t>Other Pets</t>
  </si>
  <si>
    <t>125</t>
  </si>
  <si>
    <t>Laboratory Animal Feed</t>
  </si>
  <si>
    <t>113</t>
  </si>
  <si>
    <t>Other Game birds</t>
  </si>
  <si>
    <t>009</t>
  </si>
  <si>
    <t>Maize-free Feed</t>
  </si>
  <si>
    <t>073</t>
  </si>
  <si>
    <t>Pigs</t>
  </si>
  <si>
    <t>085</t>
  </si>
  <si>
    <t>Beef finisher</t>
  </si>
  <si>
    <t>086</t>
  </si>
  <si>
    <t>Broilers</t>
  </si>
  <si>
    <t>087</t>
  </si>
  <si>
    <t>Dairy with urea</t>
  </si>
  <si>
    <t>088</t>
  </si>
  <si>
    <t>Dairy without urea</t>
  </si>
  <si>
    <t>089</t>
  </si>
  <si>
    <t>Sheep finisher</t>
  </si>
  <si>
    <t>090</t>
  </si>
  <si>
    <t>Layers</t>
  </si>
  <si>
    <t>091</t>
  </si>
  <si>
    <t>Ostriches</t>
  </si>
  <si>
    <t>092</t>
  </si>
  <si>
    <t>Horses</t>
  </si>
  <si>
    <t>093</t>
  </si>
  <si>
    <t>Ruminants - Other</t>
  </si>
  <si>
    <t>075</t>
  </si>
  <si>
    <t>Other maize-free feed</t>
  </si>
  <si>
    <t>010</t>
  </si>
  <si>
    <t>Breeder Feed</t>
  </si>
  <si>
    <t>076</t>
  </si>
  <si>
    <t>077</t>
  </si>
  <si>
    <t>078</t>
  </si>
  <si>
    <t>079</t>
  </si>
  <si>
    <t>011</t>
  </si>
  <si>
    <t>Aquaculture Feed</t>
  </si>
  <si>
    <t>095</t>
  </si>
  <si>
    <t>012</t>
  </si>
  <si>
    <t>Ostrich Feed</t>
  </si>
  <si>
    <t>101</t>
  </si>
  <si>
    <t>Starter &amp; Prestarter</t>
  </si>
  <si>
    <t>102</t>
  </si>
  <si>
    <t>Growing Mash</t>
  </si>
  <si>
    <t>103</t>
  </si>
  <si>
    <t>Breeding Mash</t>
  </si>
  <si>
    <t>104</t>
  </si>
  <si>
    <t>Maintenance Mash</t>
  </si>
  <si>
    <t>014</t>
  </si>
  <si>
    <t>Concentrate/Supplement</t>
  </si>
  <si>
    <t>201</t>
  </si>
  <si>
    <t>Concentrate/supplement</t>
  </si>
  <si>
    <t>118</t>
  </si>
  <si>
    <t>Rabbit Feed</t>
  </si>
  <si>
    <t>130</t>
  </si>
  <si>
    <t>Game Feed</t>
  </si>
  <si>
    <t>TOTALS 2022/2023</t>
  </si>
  <si>
    <t xml:space="preserve">AFMA - RAW MATERIAL USAGE 
 JAN 2022 - JUL 2022</t>
  </si>
  <si>
    <t>TOTAL TONS</t>
  </si>
  <si>
    <t>% MAKEUP IN FEEDS</t>
  </si>
  <si>
    <t>606</t>
  </si>
  <si>
    <t>Additives</t>
  </si>
  <si>
    <t>607</t>
  </si>
  <si>
    <t>Amino Acids (not listed)</t>
  </si>
  <si>
    <t>613</t>
  </si>
  <si>
    <t>Ammonium chloride</t>
  </si>
  <si>
    <t>553</t>
  </si>
  <si>
    <t>Ammonium sulphate</t>
  </si>
  <si>
    <t>557</t>
  </si>
  <si>
    <t>Apple pomace</t>
  </si>
  <si>
    <t>524</t>
  </si>
  <si>
    <t>Bagasse</t>
  </si>
  <si>
    <t>551</t>
  </si>
  <si>
    <t>Barley (All)</t>
  </si>
  <si>
    <t>501</t>
  </si>
  <si>
    <t>Blended oil</t>
  </si>
  <si>
    <t>619</t>
  </si>
  <si>
    <t>Blood meal (bovine) - Imported</t>
  </si>
  <si>
    <t>618</t>
  </si>
  <si>
    <t>Blood meal (bovine) - Local</t>
  </si>
  <si>
    <t>621</t>
  </si>
  <si>
    <t>Blood meal (porcine) - Imported</t>
  </si>
  <si>
    <t>620</t>
  </si>
  <si>
    <t>Blood meal (porcine) - Local</t>
  </si>
  <si>
    <t>503</t>
  </si>
  <si>
    <t>Blood meal (poultry) - Imported</t>
  </si>
  <si>
    <t>610</t>
  </si>
  <si>
    <t>Blood meal (poultry) - Local</t>
  </si>
  <si>
    <t>504</t>
  </si>
  <si>
    <t>Brewers grain</t>
  </si>
  <si>
    <t>558</t>
  </si>
  <si>
    <t>Canola fullfat</t>
  </si>
  <si>
    <t>614</t>
  </si>
  <si>
    <t>Canola oil</t>
  </si>
  <si>
    <t>566</t>
  </si>
  <si>
    <t>Canola oilcake - Imported</t>
  </si>
  <si>
    <t>565</t>
  </si>
  <si>
    <t>Canola oilcake - Local</t>
  </si>
  <si>
    <t>511</t>
  </si>
  <si>
    <t>Carcass Meal</t>
  </si>
  <si>
    <t>525</t>
  </si>
  <si>
    <t>Cassava meal</t>
  </si>
  <si>
    <t>700</t>
  </si>
  <si>
    <t>Choline chloride</t>
  </si>
  <si>
    <t>526</t>
  </si>
  <si>
    <t>Citrus meal</t>
  </si>
  <si>
    <t>563</t>
  </si>
  <si>
    <t>CMS</t>
  </si>
  <si>
    <t>582</t>
  </si>
  <si>
    <t>Copra oilcake products</t>
  </si>
  <si>
    <t>568</t>
  </si>
  <si>
    <t>Cotton Oilcake (Imported)</t>
  </si>
  <si>
    <t>567</t>
  </si>
  <si>
    <t>Cotton Oilcake (Local)</t>
  </si>
  <si>
    <t>570</t>
  </si>
  <si>
    <t>Cotton Seed (Imported)</t>
  </si>
  <si>
    <t>569</t>
  </si>
  <si>
    <t>Cotton Seed (Local)</t>
  </si>
  <si>
    <t>549</t>
  </si>
  <si>
    <t>Defatted Maize Germ</t>
  </si>
  <si>
    <t>552</t>
  </si>
  <si>
    <t>Dicalcium Phosphate</t>
  </si>
  <si>
    <t>521</t>
  </si>
  <si>
    <t>Fat / Vet (TALLOW)</t>
  </si>
  <si>
    <t>520</t>
  </si>
  <si>
    <t>Feather Meal - Local</t>
  </si>
  <si>
    <t>528</t>
  </si>
  <si>
    <t>Feed Wheat</t>
  </si>
  <si>
    <t>572</t>
  </si>
  <si>
    <t>Fish Meal (Imported)</t>
  </si>
  <si>
    <t>571</t>
  </si>
  <si>
    <t>Fish Meal (Local)</t>
  </si>
  <si>
    <t>529</t>
  </si>
  <si>
    <t>Groundnut Hay</t>
  </si>
  <si>
    <t>574</t>
  </si>
  <si>
    <t>Groundnut Oilcake (Imported)</t>
  </si>
  <si>
    <t>573</t>
  </si>
  <si>
    <t>Groundnut Oilcake (Local)</t>
  </si>
  <si>
    <t>510</t>
  </si>
  <si>
    <t>Hominy Chop</t>
  </si>
  <si>
    <t>530</t>
  </si>
  <si>
    <t>Limestone Grit</t>
  </si>
  <si>
    <t>531</t>
  </si>
  <si>
    <t>Limestone Powder</t>
  </si>
  <si>
    <t>532</t>
  </si>
  <si>
    <t>Lucerne Hay</t>
  </si>
  <si>
    <t>533</t>
  </si>
  <si>
    <t>Lucerne Meal / Lucerne Pellets</t>
  </si>
  <si>
    <t>583</t>
  </si>
  <si>
    <t>Lupin Fullfat</t>
  </si>
  <si>
    <t>512</t>
  </si>
  <si>
    <t>Lupin Meal</t>
  </si>
  <si>
    <t>559</t>
  </si>
  <si>
    <t>Lysine</t>
  </si>
  <si>
    <t>523</t>
  </si>
  <si>
    <t>Maize (White) - Local</t>
  </si>
  <si>
    <t>617</t>
  </si>
  <si>
    <t>Maize (Yellow) – Imported</t>
  </si>
  <si>
    <t>623</t>
  </si>
  <si>
    <t>Maize (Yellow) - Local</t>
  </si>
  <si>
    <t>630</t>
  </si>
  <si>
    <t>Maize Cooked</t>
  </si>
  <si>
    <t>548</t>
  </si>
  <si>
    <t>Maize Germ</t>
  </si>
  <si>
    <t>550</t>
  </si>
  <si>
    <t>Maize Germ Oilcake</t>
  </si>
  <si>
    <t>535</t>
  </si>
  <si>
    <t>Maize Gluten Meal (20%)</t>
  </si>
  <si>
    <t>514</t>
  </si>
  <si>
    <t>Maize Gluten Meal (60%)</t>
  </si>
  <si>
    <t>560</t>
  </si>
  <si>
    <t>Maize Meal</t>
  </si>
  <si>
    <t>534</t>
  </si>
  <si>
    <t>Maize Screenings</t>
  </si>
  <si>
    <t>519</t>
  </si>
  <si>
    <t>Meat &amp; Bone Meal</t>
  </si>
  <si>
    <t>624</t>
  </si>
  <si>
    <t xml:space="preserve">Meat and Bone Meal (bovine) - Imported </t>
  </si>
  <si>
    <t>625</t>
  </si>
  <si>
    <t>Meat and Bone Meal (bovine) - Local</t>
  </si>
  <si>
    <t>622</t>
  </si>
  <si>
    <t>Meat and Bone Meal (ovine) - Imported</t>
  </si>
  <si>
    <t>629</t>
  </si>
  <si>
    <t>Meat and Bone Meal (ovine) - Local</t>
  </si>
  <si>
    <t>612</t>
  </si>
  <si>
    <t>Meat and Bone Meal (porcine) - Imported</t>
  </si>
  <si>
    <t>611</t>
  </si>
  <si>
    <t>Meat and Bone Meal (porcine) - Local</t>
  </si>
  <si>
    <t>561</t>
  </si>
  <si>
    <t>Medicaments</t>
  </si>
  <si>
    <t>562</t>
  </si>
  <si>
    <t>Methionine</t>
  </si>
  <si>
    <t>631</t>
  </si>
  <si>
    <t>Minerals (not listed)</t>
  </si>
  <si>
    <t>536</t>
  </si>
  <si>
    <t>Molasses</t>
  </si>
  <si>
    <t>615</t>
  </si>
  <si>
    <t xml:space="preserve">Monoammonium phosphate  </t>
  </si>
  <si>
    <t>537</t>
  </si>
  <si>
    <t>Monocalcium Phosphate</t>
  </si>
  <si>
    <t>538</t>
  </si>
  <si>
    <t>Oats</t>
  </si>
  <si>
    <t>598</t>
  </si>
  <si>
    <t>Other Raw Material</t>
  </si>
  <si>
    <t>580</t>
  </si>
  <si>
    <t>Palm Kernel Oilcake</t>
  </si>
  <si>
    <t>539</t>
  </si>
  <si>
    <t>Plant Oil</t>
  </si>
  <si>
    <t>515</t>
  </si>
  <si>
    <t>Poultry By-Product meal - Local</t>
  </si>
  <si>
    <t>627</t>
  </si>
  <si>
    <t>Poultry Meal - Imported</t>
  </si>
  <si>
    <t>626</t>
  </si>
  <si>
    <t>Poultry Meal - Local</t>
  </si>
  <si>
    <t>556</t>
  </si>
  <si>
    <t>Premixes</t>
  </si>
  <si>
    <t>605</t>
  </si>
  <si>
    <t>Remix/Reworks</t>
  </si>
  <si>
    <t>603</t>
  </si>
  <si>
    <t>Rice</t>
  </si>
  <si>
    <t>546</t>
  </si>
  <si>
    <t>Rice Bran</t>
  </si>
  <si>
    <t>540</t>
  </si>
  <si>
    <t>Salt</t>
  </si>
  <si>
    <t>545</t>
  </si>
  <si>
    <t>Shell Grit</t>
  </si>
  <si>
    <t>555</t>
  </si>
  <si>
    <t>Sodium Bicarbonate</t>
  </si>
  <si>
    <t>508</t>
  </si>
  <si>
    <t>Sorghum</t>
  </si>
  <si>
    <t>602</t>
  </si>
  <si>
    <t>Soya Beans</t>
  </si>
  <si>
    <t>522</t>
  </si>
  <si>
    <t>Soya Fullfat</t>
  </si>
  <si>
    <t>601</t>
  </si>
  <si>
    <t>Soya Hulls</t>
  </si>
  <si>
    <t>628</t>
  </si>
  <si>
    <t>Soya Oil</t>
  </si>
  <si>
    <t>576</t>
  </si>
  <si>
    <t>Soya Oilcake (Imported)</t>
  </si>
  <si>
    <t>575</t>
  </si>
  <si>
    <t>Soya Oilcake (Local)</t>
  </si>
  <si>
    <t>554</t>
  </si>
  <si>
    <t>Sterilised Poultry Manure</t>
  </si>
  <si>
    <t>541</t>
  </si>
  <si>
    <t>Sunflower Hulls</t>
  </si>
  <si>
    <t>578</t>
  </si>
  <si>
    <t>Sunflower Oilcake (Imported)</t>
  </si>
  <si>
    <t>577</t>
  </si>
  <si>
    <t>Sunflower Oilcake (Local)</t>
  </si>
  <si>
    <t>581</t>
  </si>
  <si>
    <t>Sunflower Seed</t>
  </si>
  <si>
    <t>609</t>
  </si>
  <si>
    <t>Teff Hay</t>
  </si>
  <si>
    <t>584</t>
  </si>
  <si>
    <t>Threonine</t>
  </si>
  <si>
    <t>547</t>
  </si>
  <si>
    <t>Triticale</t>
  </si>
  <si>
    <t>542</t>
  </si>
  <si>
    <t>Urea</t>
  </si>
  <si>
    <t>608</t>
  </si>
  <si>
    <t>Vitamins</t>
  </si>
  <si>
    <t>604</t>
  </si>
  <si>
    <t>Wheat</t>
  </si>
  <si>
    <t>516</t>
  </si>
  <si>
    <t>Wheaten Bran</t>
  </si>
  <si>
    <t>564</t>
  </si>
  <si>
    <t>Wheaten Flour</t>
  </si>
  <si>
    <t>543</t>
  </si>
  <si>
    <t>Wheaten Straw</t>
  </si>
  <si>
    <t>616</t>
  </si>
  <si>
    <t>Whey Powder</t>
  </si>
  <si>
    <t>544</t>
  </si>
  <si>
    <t>White Fish Meal</t>
  </si>
  <si>
    <t>TOTAL RAW MATERIAL USAGE</t>
  </si>
  <si>
    <t>ANIMAL FEED SALES FOR PERIOD</t>
  </si>
  <si>
    <t>MAIZE PRODUCTS (TOTAL)</t>
  </si>
  <si>
    <t>OILCAKE AND FULLFAT (TOTAL)</t>
  </si>
  <si>
    <t>FISH MEAL (TOTAL)</t>
  </si>
  <si>
    <t>OILCAKE USAGE</t>
  </si>
  <si>
    <t>2022/2022</t>
  </si>
  <si>
    <t>2021/2021</t>
  </si>
  <si>
    <t>RAW MATERIAL</t>
  </si>
  <si>
    <t>TONS</t>
  </si>
  <si>
    <t>Canola Oilcake</t>
  </si>
  <si>
    <t>Copra and Palm Kernel</t>
  </si>
  <si>
    <t>Cotton Oilcake</t>
  </si>
  <si>
    <t>Fullfat Canola</t>
  </si>
  <si>
    <t>Fullfat Cotton</t>
  </si>
  <si>
    <t>Fullfat Soya</t>
  </si>
  <si>
    <t>Groundnut Oilcake</t>
  </si>
  <si>
    <t>Soya Oilcake</t>
  </si>
  <si>
    <t>Sunflower Oilcake</t>
  </si>
  <si>
    <t>TOTAL OILCAKE USED (TONS)</t>
  </si>
  <si>
    <t>MAIZE USAGE</t>
  </si>
  <si>
    <t>Defatted Maize Germ Meal</t>
  </si>
  <si>
    <t>Maize</t>
  </si>
  <si>
    <t>Maize Germ Meal</t>
  </si>
  <si>
    <t>TOTAL MAIZE USED (TONS)</t>
  </si>
  <si>
    <t>RAW MATERIAL USAGE AND FEED PRODUCTION</t>
  </si>
  <si>
    <t>MAIZE PRODUCT USAGE</t>
  </si>
  <si>
    <t>FISHMEAL USAGE</t>
  </si>
  <si>
    <t>TOTAL FEED SALES</t>
  </si>
</sst>
</file>

<file path=xl/styles.xml><?xml version="1.0" encoding="utf-8"?>
<styleSheet xmlns="http://schemas.openxmlformats.org/spreadsheetml/2006/main">
  <numFmts count="4">
    <numFmt numFmtId="164" formatCode="#,#"/>
    <numFmt numFmtId="165" formatCode="#,#0.0%"/>
    <numFmt numFmtId="166" formatCode="#,#0.00%"/>
    <numFmt numFmtId="167" formatCode="#,#0"/>
  </numFmts>
  <fonts count="8">
    <font>
      <sz val="11"/>
      <name val="Calibri"/>
    </font>
    <font>
      <sz val="8"/>
      <name val="Arial"/>
    </font>
    <font>
      <b/>
      <sz val="8"/>
      <name val="Arial"/>
    </font>
    <font>
      <sz val="8"/>
      <color rgb="FFFFFFFF" tint="0"/>
      <name val="Arial"/>
    </font>
    <font>
      <sz val="9"/>
      <color rgb="FFFFFFFF" tint="0"/>
      <name val="Arial"/>
    </font>
    <font>
      <sz val="8"/>
      <color rgb="FF000000" tint="0"/>
      <name val="Arial"/>
    </font>
    <font>
      <b/>
      <sz val="8"/>
      <color rgb="FF000000" tint="0"/>
      <name val="Arial"/>
    </font>
    <font>
      <b/>
      <sz val="8"/>
      <color rgb="FFFFFFFF" tint="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C0504D" tint="0"/>
      </patternFill>
    </fill>
    <fill>
      <patternFill patternType="solid">
        <fgColor rgb="FF228B22" tint="0"/>
      </patternFill>
    </fill>
    <fill>
      <patternFill patternType="solid">
        <fgColor rgb="FF4F81BD" tint="0"/>
      </patternFill>
    </fill>
    <fill>
      <patternFill patternType="solid">
        <fgColor rgb="FFC0C0C0" tint="0"/>
      </patternFill>
    </fill>
    <fill>
      <patternFill patternType="solid">
        <fgColor rgb="FF999999" tint="0"/>
      </patternFill>
    </fill>
  </fills>
  <borders count="2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/>
      <right/>
      <top/>
      <bottom style="thick"/>
      <diagonal/>
    </border>
    <border>
      <left style="thick"/>
      <right/>
      <top style="thick"/>
      <bottom style="thin"/>
      <diagonal/>
    </border>
    <border>
      <left style="thick"/>
      <right style="thin"/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right/>
      <top/>
      <bottom/>
      <diagonal/>
    </border>
    <border>
      <left style="thick"/>
      <right/>
      <top style="thin"/>
      <bottom style="thick"/>
      <diagonal/>
    </border>
    <border>
      <left style="thin"/>
      <right style="thick"/>
      <top style="thick"/>
      <bottom style="thin"/>
      <diagonal/>
    </border>
    <border>
      <left style="thin"/>
      <right style="thick"/>
      <top style="thin"/>
      <bottom style="thin"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  <border>
      <left/>
      <right/>
      <top style="thick"/>
      <bottom/>
      <diagonal/>
    </border>
    <border>
      <left style="thick"/>
      <right/>
      <top style="thick"/>
      <bottom/>
      <diagonal/>
    </border>
    <border>
      <left style="thick"/>
      <right style="thin"/>
      <top style="thin"/>
      <bottom style="thick"/>
      <diagonal/>
    </border>
    <border>
      <left/>
      <right style="thick"/>
      <top style="thick"/>
      <bottom/>
      <diagonal/>
    </border>
    <border>
      <left/>
      <right style="thick"/>
      <top style="thin"/>
      <bottom style="thin"/>
      <diagonal/>
    </border>
  </borders>
  <cellStyleXfs count="1">
    <xf numFmtId="0" fontId="0"/>
  </cellStyleXfs>
  <cellXfs count="77">
    <xf numFmtId="0" applyNumberFormat="1" fontId="0" applyFont="1" xfId="0"/>
    <xf numFmtId="0" applyNumberFormat="1" fontId="1" applyFont="1" xfId="0"/>
    <xf numFmtId="0" applyNumberFormat="1" fontId="1" applyFont="1" borderId="3" applyBorder="1" xfId="0"/>
    <xf numFmtId="0" applyNumberFormat="1" fontId="3" applyFont="1" fillId="5" applyFill="1" borderId="4" applyBorder="1" xfId="0"/>
    <xf numFmtId="0" applyNumberFormat="1" fontId="4" applyFont="1" fillId="5" applyFill="1" borderId="4" applyBorder="1" xfId="0"/>
    <xf numFmtId="164" applyNumberFormat="1" fontId="4" applyFont="1" fillId="5" applyFill="1" borderId="4" applyBorder="1" xfId="0"/>
    <xf numFmtId="165" applyNumberFormat="1" fontId="3" applyFont="1" fillId="5" applyFill="1" borderId="4" applyBorder="1" xfId="0"/>
    <xf numFmtId="164" applyNumberFormat="1" fontId="3" applyFont="1" fillId="5" applyFill="1" borderId="4" applyBorder="1" xfId="0"/>
    <xf numFmtId="0" applyNumberFormat="1" fontId="1" applyFont="1" fillId="6" applyFill="1" xfId="0"/>
    <xf numFmtId="165" applyNumberFormat="1" fontId="2" applyFont="1" fillId="6" applyFill="1" borderId="4" applyBorder="1" xfId="0"/>
    <xf numFmtId="0" applyNumberFormat="1" fontId="1" applyFont="1" fillId="2" applyFill="1" borderId="4" applyBorder="1" xfId="0"/>
    <xf numFmtId="164" applyNumberFormat="1" fontId="5" applyFont="1" fillId="2" applyFill="1" borderId="4" applyBorder="1" xfId="0"/>
    <xf numFmtId="166" applyNumberFormat="1" fontId="1" applyFont="1" fillId="2" applyFill="1" borderId="4" applyBorder="1" xfId="0"/>
    <xf numFmtId="164" applyNumberFormat="1" fontId="1" applyFont="1" fillId="2" applyFill="1" borderId="4" applyBorder="1" xfId="0"/>
    <xf numFmtId="164" applyNumberFormat="1" fontId="6" applyFont="1" fillId="2" applyFill="1" borderId="4" applyBorder="1" xfId="0"/>
    <xf numFmtId="166" applyNumberFormat="1" fontId="5" applyFont="1" fillId="2" applyFill="1" borderId="4" applyBorder="1" xfId="0"/>
    <xf numFmtId="0" applyNumberFormat="1" fontId="1" applyFont="1" borderId="5" applyBorder="1" xfId="0"/>
    <xf numFmtId="0" applyNumberFormat="1" fontId="3" applyFont="1" fillId="3" applyFill="1" borderId="6" applyBorder="1" xfId="0">
      <alignment horizontal="center" vertical="center" wrapText="1"/>
    </xf>
    <xf numFmtId="0" applyNumberFormat="1" fontId="3" applyFont="1" fillId="4" applyFill="1" borderId="6" applyBorder="1" xfId="0">
      <alignment horizontal="center" vertical="center" wrapText="1"/>
    </xf>
    <xf numFmtId="0" applyNumberFormat="1" fontId="1" applyFont="1" borderId="7" applyBorder="1" xfId="0"/>
    <xf numFmtId="165" applyNumberFormat="1" fontId="2" applyFont="1" fillId="6" applyFill="1" borderId="8" applyBorder="1" xfId="0"/>
    <xf numFmtId="0" applyNumberFormat="1" fontId="1" applyFont="1" borderId="9" applyBorder="1" xfId="0"/>
    <xf numFmtId="0" applyNumberFormat="1" fontId="2" applyFont="1" fillId="2" applyFill="1" borderId="10" applyBorder="1" xfId="0">
      <alignment horizontal="center" vertical="center" wrapText="1"/>
    </xf>
    <xf numFmtId="0" applyNumberFormat="1" fontId="3" applyFont="1" fillId="5" applyFill="1" borderId="11" applyBorder="1" xfId="0"/>
    <xf numFmtId="0" applyNumberFormat="1" fontId="2" applyFont="1" fillId="6" applyFill="1" borderId="12" applyBorder="1" xfId="0">
      <alignment horizontal="center"/>
    </xf>
    <xf numFmtId="0" applyNumberFormat="1" fontId="1" applyFont="1" fillId="2" applyFill="1" borderId="11" applyBorder="1" xfId="0"/>
    <xf numFmtId="0" applyNumberFormat="1" fontId="1" applyFont="1" borderId="13" applyBorder="1" xfId="0"/>
    <xf numFmtId="0" applyNumberFormat="1" fontId="1" applyFont="1" fillId="5" applyFill="1" borderId="12" applyBorder="1" xfId="0">
      <alignment horizontal="center"/>
    </xf>
    <xf numFmtId="0" applyNumberFormat="1" fontId="2" applyFont="1" fillId="6" applyFill="1" borderId="14" applyBorder="1" xfId="0">
      <alignment horizontal="center"/>
    </xf>
    <xf numFmtId="0" applyNumberFormat="1" fontId="3" applyFont="1" fillId="4" applyFill="1" borderId="15" applyBorder="1" xfId="0">
      <alignment horizontal="center" vertical="center" wrapText="1"/>
    </xf>
    <xf numFmtId="165" applyNumberFormat="1" fontId="3" applyFont="1" fillId="5" applyFill="1" borderId="16" applyBorder="1" xfId="0"/>
    <xf numFmtId="0" applyNumberFormat="1" fontId="1" applyFont="1" fillId="6" applyFill="1" borderId="17" applyBorder="1" xfId="0"/>
    <xf numFmtId="165" applyNumberFormat="1" fontId="1" applyFont="1" fillId="2" applyFill="1" borderId="16" applyBorder="1" xfId="0"/>
    <xf numFmtId="0" applyNumberFormat="1" fontId="1" applyFont="1" borderId="17" applyBorder="1" xfId="0"/>
    <xf numFmtId="0" applyNumberFormat="1" fontId="1" applyFont="1" borderId="18" applyBorder="1" xfId="0"/>
    <xf numFmtId="164" applyNumberFormat="1" fontId="2" applyFont="1" fillId="2" applyFill="1" borderId="4" applyBorder="1" xfId="0"/>
    <xf numFmtId="166" applyNumberFormat="1" fontId="2" applyFont="1" fillId="2" applyFill="1" borderId="4" applyBorder="1" xfId="0"/>
    <xf numFmtId="0" applyNumberFormat="1" fontId="7" applyFont="1" fillId="5" applyFill="1" borderId="4" applyBorder="1" xfId="0"/>
    <xf numFmtId="164" applyNumberFormat="1" fontId="1" applyFont="1" borderId="4" applyBorder="1" xfId="0"/>
    <xf numFmtId="166" applyNumberFormat="1" fontId="5" applyFont="1" borderId="4" applyBorder="1" xfId="0"/>
    <xf numFmtId="167" applyNumberFormat="1" fontId="5" applyFont="1" fillId="2" applyFill="1" borderId="4" applyBorder="1" xfId="0"/>
    <xf numFmtId="0" applyNumberFormat="1" fontId="1" applyFont="1" borderId="19" applyBorder="1" xfId="0"/>
    <xf numFmtId="164" applyNumberFormat="1" fontId="6" applyFont="1" fillId="2" applyFill="1" borderId="8" applyBorder="1" xfId="0"/>
    <xf numFmtId="166" applyNumberFormat="1" fontId="2" applyFont="1" fillId="2" applyFill="1" borderId="8" applyBorder="1" xfId="0"/>
    <xf numFmtId="0" applyNumberFormat="1" fontId="2" applyFont="1" fillId="2" applyFill="1" borderId="20" applyBorder="1" xfId="0">
      <alignment horizontal="center" vertical="center" wrapText="1"/>
    </xf>
    <xf numFmtId="0" applyNumberFormat="1" fontId="7" applyFont="1" fillId="6" applyFill="1" borderId="11" applyBorder="1" xfId="0">
      <alignment horizontal="center"/>
    </xf>
    <xf numFmtId="0" applyNumberFormat="1" fontId="7" applyFont="1" fillId="5" applyFill="1" borderId="12" applyBorder="1" xfId="0"/>
    <xf numFmtId="0" applyNumberFormat="1" fontId="7" applyFont="1" fillId="5" applyFill="1" borderId="11" applyBorder="1" xfId="0"/>
    <xf numFmtId="0" applyNumberFormat="1" fontId="7" applyFont="1" fillId="5" applyFill="1" borderId="14" applyBorder="1" xfId="0"/>
    <xf numFmtId="0" applyNumberFormat="1" fontId="3" applyFont="1" fillId="3" applyFill="1" borderId="15" applyBorder="1" xfId="0">
      <alignment horizontal="center" vertical="center" wrapText="1"/>
    </xf>
    <xf numFmtId="167" applyNumberFormat="1" fontId="5" applyFont="1" fillId="2" applyFill="1" borderId="16" applyBorder="1" xfId="0"/>
    <xf numFmtId="0" applyNumberFormat="1" fontId="7" applyFont="1" fillId="5" applyFill="1" borderId="1" applyBorder="1" xfId="0">
      <alignment horizontal="center"/>
    </xf>
    <xf numFmtId="0" applyNumberFormat="1" fontId="7" applyFont="1" fillId="5" applyFill="1" borderId="3" applyBorder="1" xfId="0">
      <alignment horizontal="center"/>
    </xf>
    <xf numFmtId="0" applyNumberFormat="1" fontId="7" applyFont="1" fillId="7" applyFill="1" borderId="2" applyBorder="1" xfId="0">
      <alignment horizontal="center"/>
    </xf>
    <xf numFmtId="0" applyNumberFormat="1" fontId="7" applyFont="1" fillId="7" applyFill="1" borderId="1" applyBorder="1" xfId="0">
      <alignment horizontal="center"/>
    </xf>
    <xf numFmtId="0" applyNumberFormat="1" fontId="7" applyFont="1" fillId="7" applyFill="1" borderId="3" applyBorder="1" xfId="0">
      <alignment horizontal="center"/>
    </xf>
    <xf numFmtId="0" applyNumberFormat="1" fontId="7" applyFont="1" fillId="3" applyFill="1" borderId="4" applyBorder="1" xfId="0">
      <alignment horizontal="center" vertical="center"/>
    </xf>
    <xf numFmtId="0" applyNumberFormat="1" fontId="7" applyFont="1" fillId="3" applyFill="1" borderId="4" applyBorder="1" xfId="0">
      <alignment horizontal="center" vertical="center" wrapText="1"/>
    </xf>
    <xf numFmtId="164" applyNumberFormat="1" fontId="7" applyFont="1" fillId="3" applyFill="1" borderId="4" applyBorder="1" xfId="0"/>
    <xf numFmtId="166" applyNumberFormat="1" fontId="7" applyFont="1" fillId="3" applyFill="1" borderId="4" applyBorder="1" xfId="0"/>
    <xf numFmtId="164" applyNumberFormat="1" fontId="6" applyFont="1" fillId="2" applyFill="1" borderId="4" applyBorder="1" xfId="0">
      <alignment horizontal="right"/>
    </xf>
    <xf numFmtId="166" applyNumberFormat="1" fontId="6" applyFont="1" fillId="2" applyFill="1" borderId="4" applyBorder="1" xfId="0">
      <alignment horizontal="right"/>
    </xf>
    <xf numFmtId="164" applyNumberFormat="1" fontId="6" applyFont="1" fillId="2" applyFill="1" borderId="8" applyBorder="1" xfId="0">
      <alignment horizontal="right"/>
    </xf>
    <xf numFmtId="0" applyNumberFormat="1" fontId="7" applyFont="1" fillId="5" applyFill="1" borderId="12" applyBorder="1" xfId="0">
      <alignment horizontal="center"/>
    </xf>
    <xf numFmtId="0" applyNumberFormat="1" fontId="7" applyFont="1" fillId="7" applyFill="1" borderId="12" applyBorder="1" xfId="0">
      <alignment horizontal="center"/>
    </xf>
    <xf numFmtId="0" applyNumberFormat="1" fontId="7" applyFont="1" fillId="3" applyFill="1" borderId="11" applyBorder="1" xfId="0">
      <alignment horizontal="center" vertical="center"/>
    </xf>
    <xf numFmtId="0" applyNumberFormat="1" fontId="5" applyFont="1" fillId="2" applyFill="1" borderId="11" applyBorder="1" xfId="0">
      <alignment horizontal="left"/>
    </xf>
    <xf numFmtId="0" applyNumberFormat="1" fontId="7" applyFont="1" fillId="3" applyFill="1" borderId="11" applyBorder="1" xfId="0"/>
    <xf numFmtId="0" applyNumberFormat="1" fontId="7" applyFont="1" fillId="7" applyFill="1" borderId="11" applyBorder="1" xfId="0">
      <alignment horizontal="right"/>
    </xf>
    <xf numFmtId="0" applyNumberFormat="1" fontId="7" applyFont="1" fillId="7" applyFill="1" borderId="21" applyBorder="1" xfId="0">
      <alignment horizontal="right"/>
    </xf>
    <xf numFmtId="0" applyNumberFormat="1" fontId="1" applyFont="1" borderId="22" applyBorder="1" xfId="0"/>
    <xf numFmtId="0" applyNumberFormat="1" fontId="7" applyFont="1" fillId="5" applyFill="1" borderId="23" applyBorder="1" xfId="0">
      <alignment horizontal="center"/>
    </xf>
    <xf numFmtId="0" applyNumberFormat="1" fontId="7" applyFont="1" fillId="7" applyFill="1" borderId="23" applyBorder="1" xfId="0">
      <alignment horizontal="center"/>
    </xf>
    <xf numFmtId="0" applyNumberFormat="1" fontId="7" applyFont="1" fillId="3" applyFill="1" borderId="16" applyBorder="1" xfId="0">
      <alignment horizontal="center" vertical="center" wrapText="1"/>
    </xf>
    <xf numFmtId="166" applyNumberFormat="1" fontId="5" applyFont="1" fillId="2" applyFill="1" borderId="16" applyBorder="1" xfId="0"/>
    <xf numFmtId="166" applyNumberFormat="1" fontId="3" applyFont="1" fillId="3" applyFill="1" borderId="16" applyBorder="1" xfId="0"/>
    <xf numFmtId="166" applyNumberFormat="1" fontId="7" applyFont="1" fillId="3" applyFill="1" borderId="16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114"/>
  <sheetViews>
    <sheetView workbookViewId="0"/>
  </sheetViews>
  <sheetFormatPr defaultRowHeight="14.25" customHeight="1"/>
  <cols>
    <col min="1" max="16384" width="2" customWidth="1" style="1"/>
    <col min="2" max="16384" width="9.140625" customWidth="1" style="1"/>
    <col min="3" max="3" width="35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  <col min="11" max="11" width="10" customWidth="1" style="1"/>
    <col min="12" max="12" width="9.140625" customWidth="1" style="1"/>
    <col min="13" max="13" width="12" customWidth="1" style="1"/>
    <col min="14" max="14" width="12" customWidth="1" style="1"/>
    <col min="15" max="15" width="12" customWidth="1" style="1"/>
    <col min="16" max="16384" width="9.140625" customWidth="1" style="1"/>
  </cols>
  <sheetData>
    <row r="2" ht="30" customHeight="1">
      <c r="B2" s="22" t="s">
        <v>0</v>
      </c>
      <c r="C2" s="16"/>
      <c r="D2" s="17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17" t="s">
        <v>7</v>
      </c>
      <c r="K2" s="18" t="s">
        <v>8</v>
      </c>
      <c r="L2" s="18" t="s">
        <v>9</v>
      </c>
      <c r="M2" s="18" t="s">
        <v>10</v>
      </c>
      <c r="N2" s="18" t="s">
        <v>11</v>
      </c>
      <c r="O2" s="29" t="s">
        <v>12</v>
      </c>
    </row>
    <row r="3">
      <c r="B3" s="23" t="s">
        <v>13</v>
      </c>
      <c r="C3" s="3" t="s">
        <v>14</v>
      </c>
      <c r="D3" s="5">
        <v>74183</v>
      </c>
      <c r="E3" s="5">
        <v>67761</v>
      </c>
      <c r="F3" s="5">
        <v>75698</v>
      </c>
      <c r="G3" s="5">
        <v>71227</v>
      </c>
      <c r="H3" s="5">
        <v>76111</v>
      </c>
      <c r="I3" s="5">
        <v>74999</v>
      </c>
      <c r="J3" s="4">
        <v>0</v>
      </c>
      <c r="K3" s="5">
        <v>76072</v>
      </c>
      <c r="L3" s="6">
        <f>(J3/K3)-1</f>
      </c>
      <c r="M3" s="7">
        <v>538286</v>
      </c>
      <c r="N3" s="7">
        <f>=SUM(D3:J3)</f>
      </c>
      <c r="O3" s="30">
        <f>(N3/M3)-1</f>
      </c>
    </row>
    <row r="4">
      <c r="B4" s="24" t="s">
        <v>15</v>
      </c>
      <c r="C4" s="2"/>
      <c r="D4" s="9" t="s">
        <v>16</v>
      </c>
      <c r="E4" s="9">
        <f>=(E3/D3)-1</f>
      </c>
      <c r="F4" s="9">
        <f>=(F3/E3)-1</f>
      </c>
      <c r="G4" s="9">
        <f>=(G3/F3)-1</f>
      </c>
      <c r="H4" s="9">
        <f>=(H3/G3)-1</f>
      </c>
      <c r="I4" s="9">
        <f>=(I3/H3)-1</f>
      </c>
      <c r="J4" s="9">
        <f>=(J3/I3)-1</f>
      </c>
      <c r="K4" s="8"/>
      <c r="L4" s="8"/>
      <c r="M4" s="8"/>
      <c r="N4" s="8"/>
      <c r="O4" s="31"/>
    </row>
    <row r="5">
      <c r="B5" s="25" t="s">
        <v>17</v>
      </c>
      <c r="C5" s="10" t="s">
        <v>18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32.6</v>
      </c>
      <c r="L5" s="12">
        <f>(J5/K5)-1</f>
      </c>
      <c r="M5" s="13">
        <v>185</v>
      </c>
      <c r="N5" s="13">
        <f>=SUM(D5:J5)</f>
      </c>
      <c r="O5" s="32">
        <f>(N5/M5)-1</f>
      </c>
    </row>
    <row r="6">
      <c r="B6" s="25" t="s">
        <v>19</v>
      </c>
      <c r="C6" s="10" t="s">
        <v>20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46.38</v>
      </c>
      <c r="L6" s="12">
        <f>(J6/K6)-1</f>
      </c>
      <c r="M6" s="13">
        <v>334</v>
      </c>
      <c r="N6" s="13">
        <f>=SUM(D6:J6)</f>
      </c>
      <c r="O6" s="32">
        <f>(N6/M6)-1</f>
      </c>
    </row>
    <row r="7">
      <c r="B7" s="25" t="s">
        <v>21</v>
      </c>
      <c r="C7" s="10" t="s">
        <v>22</v>
      </c>
      <c r="D7" s="11">
        <v>1507.23</v>
      </c>
      <c r="E7" s="11">
        <v>1375.33</v>
      </c>
      <c r="F7" s="11">
        <v>1666.21</v>
      </c>
      <c r="G7" s="11">
        <v>1233.84</v>
      </c>
      <c r="H7" s="11">
        <v>1392.13</v>
      </c>
      <c r="I7" s="11">
        <v>1611.24</v>
      </c>
      <c r="J7" s="11">
        <v>0</v>
      </c>
      <c r="K7" s="11">
        <v>2010.26</v>
      </c>
      <c r="L7" s="12">
        <f>(J7/K7)-1</f>
      </c>
      <c r="M7" s="13">
        <v>12906</v>
      </c>
      <c r="N7" s="13">
        <f>=SUM(D7:J7)</f>
      </c>
      <c r="O7" s="32">
        <f>(N7/M7)-1</f>
      </c>
    </row>
    <row r="8">
      <c r="B8" s="25" t="s">
        <v>23</v>
      </c>
      <c r="C8" s="10" t="s">
        <v>24</v>
      </c>
      <c r="D8" s="11">
        <v>4802.59</v>
      </c>
      <c r="E8" s="11">
        <v>4265.93</v>
      </c>
      <c r="F8" s="11">
        <v>5140.84</v>
      </c>
      <c r="G8" s="11">
        <v>4868.18</v>
      </c>
      <c r="H8" s="11">
        <v>5209.67</v>
      </c>
      <c r="I8" s="11">
        <v>5018.61</v>
      </c>
      <c r="J8" s="11">
        <v>0</v>
      </c>
      <c r="K8" s="11">
        <v>5261.91</v>
      </c>
      <c r="L8" s="12">
        <f>(J8/K8)-1</f>
      </c>
      <c r="M8" s="13">
        <v>32764</v>
      </c>
      <c r="N8" s="13">
        <f>=SUM(D8:J8)</f>
      </c>
      <c r="O8" s="32">
        <f>(N8/M8)-1</f>
      </c>
    </row>
    <row r="9">
      <c r="B9" s="25" t="s">
        <v>25</v>
      </c>
      <c r="C9" s="10" t="s">
        <v>26</v>
      </c>
      <c r="D9" s="11">
        <v>11482.89</v>
      </c>
      <c r="E9" s="11">
        <v>10533.67</v>
      </c>
      <c r="F9" s="11">
        <v>11296.01</v>
      </c>
      <c r="G9" s="11">
        <v>11036.01</v>
      </c>
      <c r="H9" s="11">
        <v>13624.91</v>
      </c>
      <c r="I9" s="11">
        <v>12991.46</v>
      </c>
      <c r="J9" s="11">
        <v>0</v>
      </c>
      <c r="K9" s="11">
        <v>11610.89</v>
      </c>
      <c r="L9" s="12">
        <f>(J9/K9)-1</f>
      </c>
      <c r="M9" s="13">
        <v>92659</v>
      </c>
      <c r="N9" s="13">
        <f>=SUM(D9:J9)</f>
      </c>
      <c r="O9" s="32">
        <f>(N9/M9)-1</f>
      </c>
    </row>
    <row r="10">
      <c r="B10" s="25" t="s">
        <v>27</v>
      </c>
      <c r="C10" s="10" t="s">
        <v>28</v>
      </c>
      <c r="D10" s="11">
        <v>56389.84</v>
      </c>
      <c r="E10" s="11">
        <v>51586.01</v>
      </c>
      <c r="F10" s="11">
        <v>57594.53</v>
      </c>
      <c r="G10" s="11">
        <v>54088.78</v>
      </c>
      <c r="H10" s="11">
        <v>55884.47</v>
      </c>
      <c r="I10" s="11">
        <v>55378</v>
      </c>
      <c r="J10" s="11">
        <v>0</v>
      </c>
      <c r="K10" s="11">
        <v>57110.11</v>
      </c>
      <c r="L10" s="12">
        <f>(J10/K10)-1</f>
      </c>
      <c r="M10" s="13">
        <v>399438</v>
      </c>
      <c r="N10" s="13">
        <f>=SUM(D10:J10)</f>
      </c>
      <c r="O10" s="32">
        <f>(N10/M10)-1</f>
      </c>
    </row>
    <row r="11">
      <c r="B11" s="26"/>
      <c r="O11" s="33"/>
    </row>
    <row r="12">
      <c r="B12" s="23" t="s">
        <v>29</v>
      </c>
      <c r="C12" s="3" t="s">
        <v>30</v>
      </c>
      <c r="D12" s="5">
        <v>53419</v>
      </c>
      <c r="E12" s="5">
        <v>61292</v>
      </c>
      <c r="F12" s="5">
        <v>72741</v>
      </c>
      <c r="G12" s="5">
        <v>54853</v>
      </c>
      <c r="H12" s="5">
        <v>75379</v>
      </c>
      <c r="I12" s="5">
        <v>79296</v>
      </c>
      <c r="J12" s="4">
        <v>0</v>
      </c>
      <c r="K12" s="5">
        <v>77446</v>
      </c>
      <c r="L12" s="6">
        <f>(J12/K12)-1</f>
      </c>
      <c r="M12" s="7">
        <v>505079</v>
      </c>
      <c r="N12" s="7">
        <f>=SUM(D12:J12)</f>
      </c>
      <c r="O12" s="30">
        <f>(N12/M12)-1</f>
      </c>
    </row>
    <row r="13">
      <c r="B13" s="24" t="s">
        <v>15</v>
      </c>
      <c r="C13" s="2"/>
      <c r="D13" s="9" t="s">
        <v>16</v>
      </c>
      <c r="E13" s="9">
        <f>=(E12/D12)-1</f>
      </c>
      <c r="F13" s="9">
        <f>=(F12/E12)-1</f>
      </c>
      <c r="G13" s="9">
        <f>=(G12/F12)-1</f>
      </c>
      <c r="H13" s="9">
        <f>=(H12/G12)-1</f>
      </c>
      <c r="I13" s="9">
        <f>=(I12/H12)-1</f>
      </c>
      <c r="J13" s="9">
        <f>=(J12/I12)-1</f>
      </c>
      <c r="K13" s="8"/>
      <c r="L13" s="8"/>
      <c r="M13" s="8"/>
      <c r="N13" s="8"/>
      <c r="O13" s="31"/>
    </row>
    <row r="14">
      <c r="B14" s="25" t="s">
        <v>31</v>
      </c>
      <c r="C14" s="10" t="s">
        <v>32</v>
      </c>
      <c r="D14" s="11">
        <v>869.5</v>
      </c>
      <c r="E14" s="11">
        <v>790.57</v>
      </c>
      <c r="F14" s="11">
        <v>797.16</v>
      </c>
      <c r="G14" s="11">
        <v>738.2</v>
      </c>
      <c r="H14" s="11">
        <v>1401.55</v>
      </c>
      <c r="I14" s="11">
        <v>1346.69</v>
      </c>
      <c r="J14" s="11">
        <v>0</v>
      </c>
      <c r="K14" s="11">
        <v>1373.69</v>
      </c>
      <c r="L14" s="12">
        <f>(J14/K14)-1</f>
      </c>
      <c r="M14" s="13">
        <v>6880</v>
      </c>
      <c r="N14" s="13">
        <f>=SUM(D14:J14)</f>
      </c>
      <c r="O14" s="32">
        <f>(N14/M14)-1</f>
      </c>
    </row>
    <row r="15">
      <c r="B15" s="25" t="s">
        <v>33</v>
      </c>
      <c r="C15" s="10" t="s">
        <v>34</v>
      </c>
      <c r="D15" s="11">
        <v>6817.67</v>
      </c>
      <c r="E15" s="11">
        <v>7588.25</v>
      </c>
      <c r="F15" s="11">
        <v>7325.57</v>
      </c>
      <c r="G15" s="11">
        <v>8771.13</v>
      </c>
      <c r="H15" s="11">
        <v>8235.51</v>
      </c>
      <c r="I15" s="11">
        <v>8416.07</v>
      </c>
      <c r="J15" s="11">
        <v>0</v>
      </c>
      <c r="K15" s="11">
        <v>5931.24</v>
      </c>
      <c r="L15" s="12">
        <f>(J15/K15)-1</f>
      </c>
      <c r="M15" s="13">
        <v>37144</v>
      </c>
      <c r="N15" s="13">
        <f>=SUM(D15:J15)</f>
      </c>
      <c r="O15" s="32">
        <f>(N15/M15)-1</f>
      </c>
    </row>
    <row r="16">
      <c r="B16" s="25" t="s">
        <v>35</v>
      </c>
      <c r="C16" s="10" t="s">
        <v>36</v>
      </c>
      <c r="D16" s="11">
        <v>760.99</v>
      </c>
      <c r="E16" s="11">
        <v>1073.87</v>
      </c>
      <c r="F16" s="11">
        <v>806</v>
      </c>
      <c r="G16" s="11">
        <v>537.71</v>
      </c>
      <c r="H16" s="11">
        <v>545.13</v>
      </c>
      <c r="I16" s="11">
        <v>434.77</v>
      </c>
      <c r="J16" s="11">
        <v>0</v>
      </c>
      <c r="K16" s="11">
        <v>1389.51</v>
      </c>
      <c r="L16" s="12">
        <f>(J16/K16)-1</f>
      </c>
      <c r="M16" s="13">
        <v>7317</v>
      </c>
      <c r="N16" s="13">
        <f>=SUM(D16:J16)</f>
      </c>
      <c r="O16" s="32">
        <f>(N16/M16)-1</f>
      </c>
    </row>
    <row r="17">
      <c r="B17" s="25" t="s">
        <v>37</v>
      </c>
      <c r="C17" s="10" t="s">
        <v>38</v>
      </c>
      <c r="D17" s="11">
        <v>84.12</v>
      </c>
      <c r="E17" s="11">
        <v>201.87</v>
      </c>
      <c r="F17" s="11">
        <v>148.83</v>
      </c>
      <c r="G17" s="11">
        <v>183.14</v>
      </c>
      <c r="H17" s="11">
        <v>254.41</v>
      </c>
      <c r="I17" s="11">
        <v>85.99</v>
      </c>
      <c r="J17" s="11">
        <v>0</v>
      </c>
      <c r="K17" s="11">
        <v>390.2</v>
      </c>
      <c r="L17" s="12">
        <f>(J17/K17)-1</f>
      </c>
      <c r="M17" s="13">
        <v>1719</v>
      </c>
      <c r="N17" s="13">
        <f>=SUM(D17:J17)</f>
      </c>
      <c r="O17" s="32">
        <f>(N17/M17)-1</f>
      </c>
    </row>
    <row r="18">
      <c r="B18" s="25" t="s">
        <v>39</v>
      </c>
      <c r="C18" s="10" t="s">
        <v>40</v>
      </c>
      <c r="D18" s="11">
        <v>208.15</v>
      </c>
      <c r="E18" s="11">
        <v>135.6</v>
      </c>
      <c r="F18" s="11">
        <v>350.06</v>
      </c>
      <c r="G18" s="11">
        <v>184.47</v>
      </c>
      <c r="H18" s="11">
        <v>414.12</v>
      </c>
      <c r="I18" s="11">
        <v>165.88</v>
      </c>
      <c r="J18" s="11">
        <v>0</v>
      </c>
      <c r="K18" s="11">
        <v>177.32</v>
      </c>
      <c r="L18" s="12">
        <f>(J18/K18)-1</f>
      </c>
      <c r="M18" s="13">
        <v>1567</v>
      </c>
      <c r="N18" s="13">
        <f>=SUM(D18:J18)</f>
      </c>
      <c r="O18" s="32">
        <f>(N18/M18)-1</f>
      </c>
    </row>
    <row r="19">
      <c r="B19" s="25" t="s">
        <v>41</v>
      </c>
      <c r="C19" s="10" t="s">
        <v>42</v>
      </c>
      <c r="D19" s="11">
        <v>234.3</v>
      </c>
      <c r="E19" s="11">
        <v>102.09</v>
      </c>
      <c r="F19" s="11">
        <v>206.04</v>
      </c>
      <c r="G19" s="11">
        <v>216.62</v>
      </c>
      <c r="H19" s="11">
        <v>243.49</v>
      </c>
      <c r="I19" s="11">
        <v>435.54</v>
      </c>
      <c r="J19" s="11">
        <v>0</v>
      </c>
      <c r="K19" s="11">
        <v>334.11</v>
      </c>
      <c r="L19" s="12">
        <f>(J19/K19)-1</f>
      </c>
      <c r="M19" s="13">
        <v>4381</v>
      </c>
      <c r="N19" s="13">
        <f>=SUM(D19:J19)</f>
      </c>
      <c r="O19" s="32">
        <f>(N19/M19)-1</f>
      </c>
    </row>
    <row r="20">
      <c r="B20" s="25" t="s">
        <v>43</v>
      </c>
      <c r="C20" s="10" t="s">
        <v>44</v>
      </c>
      <c r="D20" s="11">
        <v>2748.83</v>
      </c>
      <c r="E20" s="11">
        <v>2910.72</v>
      </c>
      <c r="F20" s="11">
        <v>3886.35</v>
      </c>
      <c r="G20" s="11">
        <v>3903.6</v>
      </c>
      <c r="H20" s="11">
        <v>3938.4</v>
      </c>
      <c r="I20" s="11">
        <v>4008.78</v>
      </c>
      <c r="J20" s="11">
        <v>0</v>
      </c>
      <c r="K20" s="11">
        <v>4087.81</v>
      </c>
      <c r="L20" s="12">
        <f>(J20/K20)-1</f>
      </c>
      <c r="M20" s="13">
        <v>27393</v>
      </c>
      <c r="N20" s="13">
        <f>=SUM(D20:J20)</f>
      </c>
      <c r="O20" s="32">
        <f>(N20/M20)-1</f>
      </c>
    </row>
    <row r="21">
      <c r="B21" s="25" t="s">
        <v>45</v>
      </c>
      <c r="C21" s="10" t="s">
        <v>46</v>
      </c>
      <c r="D21" s="11">
        <v>2827.83</v>
      </c>
      <c r="E21" s="11">
        <v>3012.97</v>
      </c>
      <c r="F21" s="11">
        <v>3499.55</v>
      </c>
      <c r="G21" s="11">
        <v>3179.53</v>
      </c>
      <c r="H21" s="11">
        <v>4223.97</v>
      </c>
      <c r="I21" s="11">
        <v>4216.48</v>
      </c>
      <c r="J21" s="11">
        <v>0</v>
      </c>
      <c r="K21" s="11">
        <v>3948.44</v>
      </c>
      <c r="L21" s="12">
        <f>(J21/K21)-1</f>
      </c>
      <c r="M21" s="13">
        <v>24120</v>
      </c>
      <c r="N21" s="13">
        <f>=SUM(D21:J21)</f>
      </c>
      <c r="O21" s="32">
        <f>(N21/M21)-1</f>
      </c>
    </row>
    <row r="22">
      <c r="B22" s="25" t="s">
        <v>47</v>
      </c>
      <c r="C22" s="10" t="s">
        <v>48</v>
      </c>
      <c r="D22" s="11">
        <v>38867.95</v>
      </c>
      <c r="E22" s="11">
        <v>45476.3</v>
      </c>
      <c r="F22" s="11">
        <v>55721.16</v>
      </c>
      <c r="G22" s="11">
        <v>37138.2</v>
      </c>
      <c r="H22" s="11">
        <v>56122.84</v>
      </c>
      <c r="I22" s="11">
        <v>60185.4</v>
      </c>
      <c r="J22" s="11">
        <v>0</v>
      </c>
      <c r="K22" s="11">
        <v>59813.65</v>
      </c>
      <c r="L22" s="12">
        <f>(J22/K22)-1</f>
      </c>
      <c r="M22" s="13">
        <v>394558</v>
      </c>
      <c r="N22" s="13">
        <f>=SUM(D22:J22)</f>
      </c>
      <c r="O22" s="32">
        <f>(N22/M22)-1</f>
      </c>
    </row>
    <row r="23">
      <c r="B23" s="26"/>
      <c r="O23" s="33"/>
    </row>
    <row r="24">
      <c r="B24" s="23" t="s">
        <v>49</v>
      </c>
      <c r="C24" s="3" t="s">
        <v>50</v>
      </c>
      <c r="D24" s="5">
        <v>39927</v>
      </c>
      <c r="E24" s="5">
        <v>34833</v>
      </c>
      <c r="F24" s="5">
        <v>39944</v>
      </c>
      <c r="G24" s="5">
        <v>37043</v>
      </c>
      <c r="H24" s="5">
        <v>39929</v>
      </c>
      <c r="I24" s="5">
        <v>38162</v>
      </c>
      <c r="J24" s="4">
        <v>0</v>
      </c>
      <c r="K24" s="5">
        <v>38695</v>
      </c>
      <c r="L24" s="6">
        <f>(J24/K24)-1</f>
      </c>
      <c r="M24" s="7">
        <v>241071</v>
      </c>
      <c r="N24" s="7">
        <f>=SUM(D24:J24)</f>
      </c>
      <c r="O24" s="30">
        <f>(N24/M24)-1</f>
      </c>
    </row>
    <row r="25">
      <c r="B25" s="24" t="s">
        <v>15</v>
      </c>
      <c r="C25" s="2"/>
      <c r="D25" s="9" t="s">
        <v>16</v>
      </c>
      <c r="E25" s="9">
        <f>=(E24/D24)-1</f>
      </c>
      <c r="F25" s="9">
        <f>=(F24/E24)-1</f>
      </c>
      <c r="G25" s="9">
        <f>=(G24/F24)-1</f>
      </c>
      <c r="H25" s="9">
        <f>=(H24/G24)-1</f>
      </c>
      <c r="I25" s="9">
        <f>=(I24/H24)-1</f>
      </c>
      <c r="J25" s="9">
        <f>=(J24/I24)-1</f>
      </c>
      <c r="K25" s="8"/>
      <c r="L25" s="8"/>
      <c r="M25" s="8"/>
      <c r="N25" s="8"/>
      <c r="O25" s="31"/>
    </row>
    <row r="26">
      <c r="B26" s="25" t="s">
        <v>51</v>
      </c>
      <c r="C26" s="10" t="s">
        <v>52</v>
      </c>
      <c r="D26" s="11">
        <v>6296.84</v>
      </c>
      <c r="E26" s="11">
        <v>5201.58</v>
      </c>
      <c r="F26" s="11">
        <v>5699.33</v>
      </c>
      <c r="G26" s="11">
        <v>5351.25</v>
      </c>
      <c r="H26" s="11">
        <v>6548.14</v>
      </c>
      <c r="I26" s="11">
        <v>6088.51</v>
      </c>
      <c r="J26" s="11">
        <v>0</v>
      </c>
      <c r="K26" s="11">
        <v>6100.93</v>
      </c>
      <c r="L26" s="12">
        <f>(J26/K26)-1</f>
      </c>
      <c r="M26" s="13">
        <v>35249</v>
      </c>
      <c r="N26" s="13">
        <f>=SUM(D26:J26)</f>
      </c>
      <c r="O26" s="32">
        <f>(N26/M26)-1</f>
      </c>
    </row>
    <row r="27">
      <c r="B27" s="25" t="s">
        <v>53</v>
      </c>
      <c r="C27" s="10" t="s">
        <v>54</v>
      </c>
      <c r="D27" s="11">
        <v>19867.81</v>
      </c>
      <c r="E27" s="11">
        <v>17835.08</v>
      </c>
      <c r="F27" s="11">
        <v>21086.74</v>
      </c>
      <c r="G27" s="11">
        <v>18517.62</v>
      </c>
      <c r="H27" s="11">
        <v>20278.08</v>
      </c>
      <c r="I27" s="11">
        <v>19098.43</v>
      </c>
      <c r="J27" s="11">
        <v>0</v>
      </c>
      <c r="K27" s="11">
        <v>19164.18</v>
      </c>
      <c r="L27" s="12">
        <f>(J27/K27)-1</f>
      </c>
      <c r="M27" s="13">
        <v>118909</v>
      </c>
      <c r="N27" s="13">
        <f>=SUM(D27:J27)</f>
      </c>
      <c r="O27" s="32">
        <f>(N27/M27)-1</f>
      </c>
    </row>
    <row r="28">
      <c r="B28" s="25" t="s">
        <v>55</v>
      </c>
      <c r="C28" s="10" t="s">
        <v>56</v>
      </c>
      <c r="D28" s="11">
        <v>4112.59</v>
      </c>
      <c r="E28" s="11">
        <v>3696.88</v>
      </c>
      <c r="F28" s="11">
        <v>4198.47</v>
      </c>
      <c r="G28" s="11">
        <v>4659.02</v>
      </c>
      <c r="H28" s="11">
        <v>4489.55</v>
      </c>
      <c r="I28" s="11">
        <v>3898.96</v>
      </c>
      <c r="J28" s="11">
        <v>0</v>
      </c>
      <c r="K28" s="11">
        <v>3946.9</v>
      </c>
      <c r="L28" s="12">
        <f>(J28/K28)-1</f>
      </c>
      <c r="M28" s="13">
        <v>25682</v>
      </c>
      <c r="N28" s="13">
        <f>=SUM(D28:J28)</f>
      </c>
      <c r="O28" s="32">
        <f>(N28/M28)-1</f>
      </c>
    </row>
    <row r="29">
      <c r="B29" s="25" t="s">
        <v>57</v>
      </c>
      <c r="C29" s="10" t="s">
        <v>58</v>
      </c>
      <c r="D29" s="11">
        <v>9649.32</v>
      </c>
      <c r="E29" s="11">
        <v>8099.15</v>
      </c>
      <c r="F29" s="11">
        <v>8959.12</v>
      </c>
      <c r="G29" s="11">
        <v>8514.83</v>
      </c>
      <c r="H29" s="11">
        <v>8613.6</v>
      </c>
      <c r="I29" s="11">
        <v>9075.99</v>
      </c>
      <c r="J29" s="11">
        <v>0</v>
      </c>
      <c r="K29" s="11">
        <v>9482.99</v>
      </c>
      <c r="L29" s="12">
        <f>(J29/K29)-1</f>
      </c>
      <c r="M29" s="13">
        <v>61231</v>
      </c>
      <c r="N29" s="13">
        <f>=SUM(D29:J29)</f>
      </c>
      <c r="O29" s="32">
        <f>(N29/M29)-1</f>
      </c>
    </row>
    <row r="30">
      <c r="B30" s="26"/>
      <c r="O30" s="33"/>
    </row>
    <row r="31">
      <c r="B31" s="23" t="s">
        <v>59</v>
      </c>
      <c r="C31" s="3" t="s">
        <v>60</v>
      </c>
      <c r="D31" s="5">
        <v>79484</v>
      </c>
      <c r="E31" s="5">
        <v>79627</v>
      </c>
      <c r="F31" s="5">
        <v>81874</v>
      </c>
      <c r="G31" s="5">
        <v>77427</v>
      </c>
      <c r="H31" s="5">
        <v>83787</v>
      </c>
      <c r="I31" s="5">
        <v>78805</v>
      </c>
      <c r="J31" s="4">
        <v>0</v>
      </c>
      <c r="K31" s="5">
        <v>86000</v>
      </c>
      <c r="L31" s="6">
        <f>(J31/K31)-1</f>
      </c>
      <c r="M31" s="7">
        <v>580511</v>
      </c>
      <c r="N31" s="7">
        <f>=SUM(D31:J31)</f>
      </c>
      <c r="O31" s="30">
        <f>(N31/M31)-1</f>
      </c>
    </row>
    <row r="32">
      <c r="B32" s="24" t="s">
        <v>15</v>
      </c>
      <c r="C32" s="2"/>
      <c r="D32" s="9" t="s">
        <v>16</v>
      </c>
      <c r="E32" s="9">
        <f>=(E31/D31)-1</f>
      </c>
      <c r="F32" s="9">
        <f>=(F31/E31)-1</f>
      </c>
      <c r="G32" s="9">
        <f>=(G31/F31)-1</f>
      </c>
      <c r="H32" s="9">
        <f>=(H31/G31)-1</f>
      </c>
      <c r="I32" s="9">
        <f>=(I31/H31)-1</f>
      </c>
      <c r="J32" s="9">
        <f>=(J31/I31)-1</f>
      </c>
      <c r="K32" s="8"/>
      <c r="L32" s="8"/>
      <c r="M32" s="8"/>
      <c r="N32" s="8"/>
      <c r="O32" s="31"/>
    </row>
    <row r="33">
      <c r="B33" s="25" t="s">
        <v>61</v>
      </c>
      <c r="C33" s="10" t="s">
        <v>62</v>
      </c>
      <c r="D33" s="11">
        <v>17272.24</v>
      </c>
      <c r="E33" s="11">
        <v>16300.13</v>
      </c>
      <c r="F33" s="11">
        <v>18119.87</v>
      </c>
      <c r="G33" s="11">
        <v>16655.97</v>
      </c>
      <c r="H33" s="11">
        <v>17537.32</v>
      </c>
      <c r="I33" s="11">
        <v>17842.19</v>
      </c>
      <c r="J33" s="11">
        <v>0</v>
      </c>
      <c r="K33" s="11">
        <v>19024.36</v>
      </c>
      <c r="L33" s="12">
        <f>(J33/K33)-1</f>
      </c>
      <c r="M33" s="13">
        <v>127503</v>
      </c>
      <c r="N33" s="13">
        <f>=SUM(D33:J33)</f>
      </c>
      <c r="O33" s="32">
        <f>(N33/M33)-1</f>
      </c>
    </row>
    <row r="34">
      <c r="B34" s="25" t="s">
        <v>63</v>
      </c>
      <c r="C34" s="10" t="s">
        <v>64</v>
      </c>
      <c r="D34" s="11">
        <v>51677.19</v>
      </c>
      <c r="E34" s="11">
        <v>51239.29</v>
      </c>
      <c r="F34" s="11">
        <v>53294.34</v>
      </c>
      <c r="G34" s="11">
        <v>50398.54</v>
      </c>
      <c r="H34" s="11">
        <v>54441.31</v>
      </c>
      <c r="I34" s="11">
        <v>48673.23</v>
      </c>
      <c r="J34" s="11">
        <v>0</v>
      </c>
      <c r="K34" s="11">
        <v>53399.28</v>
      </c>
      <c r="L34" s="12">
        <f>(J34/K34)-1</f>
      </c>
      <c r="M34" s="13">
        <v>363539</v>
      </c>
      <c r="N34" s="13">
        <f>=SUM(D34:J34)</f>
      </c>
      <c r="O34" s="32">
        <f>(N34/M34)-1</f>
      </c>
    </row>
    <row r="35">
      <c r="B35" s="25" t="s">
        <v>65</v>
      </c>
      <c r="C35" s="10" t="s">
        <v>66</v>
      </c>
      <c r="D35" s="11">
        <v>5074.39</v>
      </c>
      <c r="E35" s="11">
        <v>4150.45</v>
      </c>
      <c r="F35" s="11">
        <v>4512.09</v>
      </c>
      <c r="G35" s="11">
        <v>4293.52</v>
      </c>
      <c r="H35" s="11">
        <v>5123.59</v>
      </c>
      <c r="I35" s="11">
        <v>5612.88</v>
      </c>
      <c r="J35" s="11">
        <v>0</v>
      </c>
      <c r="K35" s="11">
        <v>5527.48</v>
      </c>
      <c r="L35" s="12">
        <f>(J35/K35)-1</f>
      </c>
      <c r="M35" s="13">
        <v>41295</v>
      </c>
      <c r="N35" s="13">
        <f>=SUM(D35:J35)</f>
      </c>
      <c r="O35" s="32">
        <f>(N35/M35)-1</f>
      </c>
    </row>
    <row r="36">
      <c r="B36" s="25" t="s">
        <v>67</v>
      </c>
      <c r="C36" s="10" t="s">
        <v>68</v>
      </c>
      <c r="D36" s="11">
        <v>2606.28</v>
      </c>
      <c r="E36" s="11">
        <v>2325.77</v>
      </c>
      <c r="F36" s="11">
        <v>3032.21</v>
      </c>
      <c r="G36" s="11">
        <v>3169.97</v>
      </c>
      <c r="H36" s="11">
        <v>3620.28</v>
      </c>
      <c r="I36" s="11">
        <v>3531.61</v>
      </c>
      <c r="J36" s="11">
        <v>0</v>
      </c>
      <c r="K36" s="11">
        <v>3457.1</v>
      </c>
      <c r="L36" s="12">
        <f>(J36/K36)-1</f>
      </c>
      <c r="M36" s="13">
        <v>22169</v>
      </c>
      <c r="N36" s="13">
        <f>=SUM(D36:J36)</f>
      </c>
      <c r="O36" s="32">
        <f>(N36/M36)-1</f>
      </c>
    </row>
    <row r="37">
      <c r="B37" s="25" t="s">
        <v>69</v>
      </c>
      <c r="C37" s="10" t="s">
        <v>70</v>
      </c>
      <c r="D37" s="11">
        <v>2854.31</v>
      </c>
      <c r="E37" s="11">
        <v>5611.64</v>
      </c>
      <c r="F37" s="11">
        <v>2915.84</v>
      </c>
      <c r="G37" s="11">
        <v>2909.04</v>
      </c>
      <c r="H37" s="11">
        <v>3064.62</v>
      </c>
      <c r="I37" s="11">
        <v>3144.91</v>
      </c>
      <c r="J37" s="11">
        <v>0</v>
      </c>
      <c r="K37" s="11">
        <v>4591.91</v>
      </c>
      <c r="L37" s="12">
        <f>(J37/K37)-1</f>
      </c>
      <c r="M37" s="13">
        <v>26006</v>
      </c>
      <c r="N37" s="13">
        <f>=SUM(D37:J37)</f>
      </c>
      <c r="O37" s="32">
        <f>(N37/M37)-1</f>
      </c>
    </row>
    <row r="38">
      <c r="B38" s="26"/>
      <c r="O38" s="33"/>
    </row>
    <row r="39">
      <c r="B39" s="23" t="s">
        <v>71</v>
      </c>
      <c r="C39" s="3" t="s">
        <v>72</v>
      </c>
      <c r="D39" s="5">
        <v>239231</v>
      </c>
      <c r="E39" s="5">
        <v>223358</v>
      </c>
      <c r="F39" s="5">
        <v>256789</v>
      </c>
      <c r="G39" s="5">
        <v>233182</v>
      </c>
      <c r="H39" s="5">
        <v>255454</v>
      </c>
      <c r="I39" s="5">
        <v>256174</v>
      </c>
      <c r="J39" s="4">
        <v>0</v>
      </c>
      <c r="K39" s="5">
        <v>237085</v>
      </c>
      <c r="L39" s="6">
        <f>(J39/K39)-1</f>
      </c>
      <c r="M39" s="7">
        <v>1722694</v>
      </c>
      <c r="N39" s="7">
        <f>=SUM(D39:J39)</f>
      </c>
      <c r="O39" s="30">
        <f>(N39/M39)-1</f>
      </c>
    </row>
    <row r="40">
      <c r="B40" s="24" t="s">
        <v>15</v>
      </c>
      <c r="C40" s="2"/>
      <c r="D40" s="9" t="s">
        <v>16</v>
      </c>
      <c r="E40" s="9">
        <f>=(E39/D39)-1</f>
      </c>
      <c r="F40" s="9">
        <f>=(F39/E39)-1</f>
      </c>
      <c r="G40" s="9">
        <f>=(G39/F39)-1</f>
      </c>
      <c r="H40" s="9">
        <f>=(H39/G39)-1</f>
      </c>
      <c r="I40" s="9">
        <f>=(I39/H39)-1</f>
      </c>
      <c r="J40" s="9">
        <f>=(J39/I39)-1</f>
      </c>
      <c r="K40" s="8"/>
      <c r="L40" s="8"/>
      <c r="M40" s="8"/>
      <c r="N40" s="8"/>
      <c r="O40" s="31"/>
    </row>
    <row r="41">
      <c r="B41" s="25" t="s">
        <v>73</v>
      </c>
      <c r="C41" s="10" t="s">
        <v>74</v>
      </c>
      <c r="D41" s="11">
        <v>178.27</v>
      </c>
      <c r="E41" s="11">
        <v>103.2</v>
      </c>
      <c r="F41" s="11">
        <v>150.1</v>
      </c>
      <c r="G41" s="11">
        <v>170.31</v>
      </c>
      <c r="H41" s="11">
        <v>166.22</v>
      </c>
      <c r="I41" s="11">
        <v>117.91</v>
      </c>
      <c r="J41" s="11">
        <v>0</v>
      </c>
      <c r="K41" s="11">
        <v>4519.2</v>
      </c>
      <c r="L41" s="12">
        <f>(J41/K41)-1</f>
      </c>
      <c r="M41" s="13">
        <v>10077</v>
      </c>
      <c r="N41" s="13">
        <f>=SUM(D41:J41)</f>
      </c>
      <c r="O41" s="32">
        <f>(N41/M41)-1</f>
      </c>
    </row>
    <row r="42">
      <c r="B42" s="25" t="s">
        <v>75</v>
      </c>
      <c r="C42" s="10" t="s">
        <v>76</v>
      </c>
      <c r="D42" s="11">
        <v>15775.68</v>
      </c>
      <c r="E42" s="11">
        <v>18052.5</v>
      </c>
      <c r="F42" s="11">
        <v>16987.37</v>
      </c>
      <c r="G42" s="11">
        <v>17375.29</v>
      </c>
      <c r="H42" s="11">
        <v>20362.95</v>
      </c>
      <c r="I42" s="11">
        <v>20522.55</v>
      </c>
      <c r="J42" s="11">
        <v>0</v>
      </c>
      <c r="K42" s="11">
        <v>13477.56</v>
      </c>
      <c r="L42" s="12">
        <f>(J42/K42)-1</f>
      </c>
      <c r="M42" s="13">
        <v>92544</v>
      </c>
      <c r="N42" s="13">
        <f>=SUM(D42:J42)</f>
      </c>
      <c r="O42" s="32">
        <f>(N42/M42)-1</f>
      </c>
    </row>
    <row r="43">
      <c r="B43" s="25" t="s">
        <v>77</v>
      </c>
      <c r="C43" s="10" t="s">
        <v>78</v>
      </c>
      <c r="D43" s="11">
        <v>52041.86</v>
      </c>
      <c r="E43" s="11">
        <v>49430.36</v>
      </c>
      <c r="F43" s="11">
        <v>53941.24</v>
      </c>
      <c r="G43" s="11">
        <v>52293.87</v>
      </c>
      <c r="H43" s="11">
        <v>57432.94</v>
      </c>
      <c r="I43" s="11">
        <v>56569.3</v>
      </c>
      <c r="J43" s="11">
        <v>0</v>
      </c>
      <c r="K43" s="11">
        <v>53687.85</v>
      </c>
      <c r="L43" s="12">
        <f>(J43/K43)-1</f>
      </c>
      <c r="M43" s="13">
        <v>399844</v>
      </c>
      <c r="N43" s="13">
        <f>=SUM(D43:J43)</f>
      </c>
      <c r="O43" s="32">
        <f>(N43/M43)-1</f>
      </c>
    </row>
    <row r="44">
      <c r="B44" s="25" t="s">
        <v>79</v>
      </c>
      <c r="C44" s="10" t="s">
        <v>80</v>
      </c>
      <c r="D44" s="11">
        <v>94657.06</v>
      </c>
      <c r="E44" s="11">
        <v>83983.02</v>
      </c>
      <c r="F44" s="11">
        <v>98024.9</v>
      </c>
      <c r="G44" s="11">
        <v>86326.52</v>
      </c>
      <c r="H44" s="11">
        <v>92309.39</v>
      </c>
      <c r="I44" s="11">
        <v>92320.83</v>
      </c>
      <c r="J44" s="11">
        <v>0</v>
      </c>
      <c r="K44" s="11">
        <v>89033.97</v>
      </c>
      <c r="L44" s="12">
        <f>(J44/K44)-1</f>
      </c>
      <c r="M44" s="13">
        <v>653129</v>
      </c>
      <c r="N44" s="13">
        <f>=SUM(D44:J44)</f>
      </c>
      <c r="O44" s="32">
        <f>(N44/M44)-1</f>
      </c>
    </row>
    <row r="45">
      <c r="B45" s="25" t="s">
        <v>81</v>
      </c>
      <c r="C45" s="10" t="s">
        <v>82</v>
      </c>
      <c r="D45" s="11">
        <v>55290.34</v>
      </c>
      <c r="E45" s="11">
        <v>50573.58</v>
      </c>
      <c r="F45" s="11">
        <v>62291.09</v>
      </c>
      <c r="G45" s="11">
        <v>53577.25</v>
      </c>
      <c r="H45" s="11">
        <v>58543.12</v>
      </c>
      <c r="I45" s="11">
        <v>61276.08</v>
      </c>
      <c r="J45" s="11">
        <v>0</v>
      </c>
      <c r="K45" s="11">
        <v>55025.86</v>
      </c>
      <c r="L45" s="12">
        <f>(J45/K45)-1</f>
      </c>
      <c r="M45" s="13">
        <v>398154</v>
      </c>
      <c r="N45" s="13">
        <f>=SUM(D45:J45)</f>
      </c>
      <c r="O45" s="32">
        <f>(N45/M45)-1</f>
      </c>
    </row>
    <row r="46">
      <c r="B46" s="25" t="s">
        <v>83</v>
      </c>
      <c r="C46" s="10" t="s">
        <v>84</v>
      </c>
      <c r="D46" s="11">
        <v>21287.38</v>
      </c>
      <c r="E46" s="11">
        <v>21215.75</v>
      </c>
      <c r="F46" s="11">
        <v>25394.32</v>
      </c>
      <c r="G46" s="11">
        <v>23439.18</v>
      </c>
      <c r="H46" s="11">
        <v>26639.87</v>
      </c>
      <c r="I46" s="11">
        <v>25367.61</v>
      </c>
      <c r="J46" s="11">
        <v>0</v>
      </c>
      <c r="K46" s="11">
        <v>21340.18</v>
      </c>
      <c r="L46" s="12">
        <f>(J46/K46)-1</f>
      </c>
      <c r="M46" s="13">
        <v>168945</v>
      </c>
      <c r="N46" s="13">
        <f>=SUM(D46:J46)</f>
      </c>
      <c r="O46" s="32">
        <f>(N46/M46)-1</f>
      </c>
    </row>
    <row r="47">
      <c r="B47" s="26"/>
      <c r="O47" s="33"/>
    </row>
    <row r="48">
      <c r="B48" s="23" t="s">
        <v>85</v>
      </c>
      <c r="C48" s="3" t="s">
        <v>86</v>
      </c>
      <c r="D48" s="5">
        <v>1718</v>
      </c>
      <c r="E48" s="5">
        <v>1704</v>
      </c>
      <c r="F48" s="5">
        <v>1854</v>
      </c>
      <c r="G48" s="5">
        <v>1845</v>
      </c>
      <c r="H48" s="5">
        <v>1846</v>
      </c>
      <c r="I48" s="5">
        <v>1572</v>
      </c>
      <c r="J48" s="4">
        <v>0</v>
      </c>
      <c r="K48" s="5">
        <v>1897</v>
      </c>
      <c r="L48" s="6">
        <f>(J48/K48)-1</f>
      </c>
      <c r="M48" s="7">
        <v>12992</v>
      </c>
      <c r="N48" s="7">
        <f>=SUM(D48:J48)</f>
      </c>
      <c r="O48" s="30">
        <f>(N48/M48)-1</f>
      </c>
    </row>
    <row r="49">
      <c r="B49" s="24" t="s">
        <v>15</v>
      </c>
      <c r="C49" s="2"/>
      <c r="D49" s="9" t="s">
        <v>16</v>
      </c>
      <c r="E49" s="9">
        <f>=(E48/D48)-1</f>
      </c>
      <c r="F49" s="9">
        <f>=(F48/E48)-1</f>
      </c>
      <c r="G49" s="9">
        <f>=(G48/F48)-1</f>
      </c>
      <c r="H49" s="9">
        <f>=(H48/G48)-1</f>
      </c>
      <c r="I49" s="9">
        <f>=(I48/H48)-1</f>
      </c>
      <c r="J49" s="9">
        <f>=(J48/I48)-1</f>
      </c>
      <c r="K49" s="8"/>
      <c r="L49" s="8"/>
      <c r="M49" s="8"/>
      <c r="N49" s="8"/>
      <c r="O49" s="31"/>
    </row>
    <row r="50">
      <c r="B50" s="25" t="s">
        <v>87</v>
      </c>
      <c r="C50" s="10" t="s">
        <v>86</v>
      </c>
      <c r="D50" s="11">
        <v>1709.16</v>
      </c>
      <c r="E50" s="11">
        <v>1699.19</v>
      </c>
      <c r="F50" s="11">
        <v>1839.36</v>
      </c>
      <c r="G50" s="11">
        <v>1837.85</v>
      </c>
      <c r="H50" s="11">
        <v>1833.93</v>
      </c>
      <c r="I50" s="11">
        <v>1563.36</v>
      </c>
      <c r="J50" s="11">
        <v>0</v>
      </c>
      <c r="K50" s="11">
        <v>1882.61</v>
      </c>
      <c r="L50" s="12">
        <f>(J50/K50)-1</f>
      </c>
      <c r="M50" s="13">
        <v>12906</v>
      </c>
      <c r="N50" s="13">
        <f>=SUM(D50:J50)</f>
      </c>
      <c r="O50" s="32">
        <f>(N50/M50)-1</f>
      </c>
    </row>
    <row r="51">
      <c r="B51" s="25" t="s">
        <v>88</v>
      </c>
      <c r="C51" s="10" t="s">
        <v>89</v>
      </c>
      <c r="D51" s="11">
        <v>9.2</v>
      </c>
      <c r="E51" s="11">
        <v>4.4</v>
      </c>
      <c r="F51" s="11">
        <v>14.96</v>
      </c>
      <c r="G51" s="11">
        <v>6.92</v>
      </c>
      <c r="H51" s="11">
        <v>11.8</v>
      </c>
      <c r="I51" s="11">
        <v>8.8</v>
      </c>
      <c r="J51" s="11">
        <v>0</v>
      </c>
      <c r="K51" s="11">
        <v>14.84</v>
      </c>
      <c r="L51" s="12">
        <f>(J51/K51)-1</f>
      </c>
      <c r="M51" s="13">
        <v>86</v>
      </c>
      <c r="N51" s="13">
        <f>=SUM(D51:J51)</f>
      </c>
      <c r="O51" s="32">
        <f>(N51/M51)-1</f>
      </c>
    </row>
    <row r="52">
      <c r="B52" s="26"/>
      <c r="O52" s="33"/>
    </row>
    <row r="53">
      <c r="B53" s="23" t="s">
        <v>90</v>
      </c>
      <c r="C53" s="3" t="s">
        <v>91</v>
      </c>
      <c r="D53" s="5">
        <v>81</v>
      </c>
      <c r="E53" s="5">
        <v>59</v>
      </c>
      <c r="F53" s="5">
        <v>104</v>
      </c>
      <c r="G53" s="5">
        <v>57</v>
      </c>
      <c r="H53" s="5">
        <v>91</v>
      </c>
      <c r="I53" s="5">
        <v>27</v>
      </c>
      <c r="J53" s="4">
        <v>0</v>
      </c>
      <c r="K53" s="5">
        <v>93</v>
      </c>
      <c r="L53" s="6">
        <f>(J53/K53)-1</f>
      </c>
      <c r="M53" s="7">
        <v>647</v>
      </c>
      <c r="N53" s="7">
        <f>=SUM(D53:J53)</f>
      </c>
      <c r="O53" s="30">
        <f>(N53/M53)-1</f>
      </c>
    </row>
    <row r="54">
      <c r="B54" s="24" t="s">
        <v>15</v>
      </c>
      <c r="C54" s="2"/>
      <c r="D54" s="9" t="s">
        <v>16</v>
      </c>
      <c r="E54" s="9">
        <f>=(E53/D53)-1</f>
      </c>
      <c r="F54" s="9">
        <f>=(F53/E53)-1</f>
      </c>
      <c r="G54" s="9">
        <f>=(G53/F53)-1</f>
      </c>
      <c r="H54" s="9">
        <f>=(H53/G53)-1</f>
      </c>
      <c r="I54" s="9">
        <f>=(I53/H53)-1</f>
      </c>
      <c r="J54" s="9">
        <f>=(J53/I53)-1</f>
      </c>
      <c r="K54" s="8"/>
      <c r="L54" s="8"/>
      <c r="M54" s="8"/>
      <c r="N54" s="8"/>
      <c r="O54" s="31"/>
    </row>
    <row r="55">
      <c r="B55" s="25" t="s">
        <v>92</v>
      </c>
      <c r="C55" s="10" t="s">
        <v>93</v>
      </c>
      <c r="D55" s="11">
        <v>81.31</v>
      </c>
      <c r="E55" s="11">
        <v>59.03</v>
      </c>
      <c r="F55" s="11">
        <v>104.44</v>
      </c>
      <c r="G55" s="11">
        <v>56.86</v>
      </c>
      <c r="H55" s="11">
        <v>90.8</v>
      </c>
      <c r="I55" s="11">
        <v>26.66</v>
      </c>
      <c r="J55" s="11">
        <v>0</v>
      </c>
      <c r="K55" s="11">
        <v>92.77</v>
      </c>
      <c r="L55" s="12">
        <f>(J55/K55)-1</f>
      </c>
      <c r="M55" s="13">
        <v>647</v>
      </c>
      <c r="N55" s="13">
        <f>=SUM(D55:J55)</f>
      </c>
      <c r="O55" s="32">
        <f>(N55/M55)-1</f>
      </c>
    </row>
    <row r="56">
      <c r="B56" s="25" t="s">
        <v>94</v>
      </c>
      <c r="C56" s="10" t="s">
        <v>95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2">
        <f>(J56/K56)-1</f>
      </c>
      <c r="M56" s="13">
        <v>0</v>
      </c>
      <c r="N56" s="13">
        <f>=SUM(D56:J56)</f>
      </c>
      <c r="O56" s="32">
        <f>(N56/M56)-1</f>
      </c>
    </row>
    <row r="57">
      <c r="B57" s="25" t="s">
        <v>96</v>
      </c>
      <c r="C57" s="10" t="s">
        <v>97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2">
        <f>(J57/K57)-1</f>
      </c>
      <c r="M57" s="13">
        <v>0</v>
      </c>
      <c r="N57" s="13">
        <f>=SUM(D57:J57)</f>
      </c>
      <c r="O57" s="32">
        <f>(N57/M57)-1</f>
      </c>
    </row>
    <row r="58">
      <c r="B58" s="26"/>
      <c r="O58" s="33"/>
    </row>
    <row r="59">
      <c r="B59" s="23" t="s">
        <v>98</v>
      </c>
      <c r="C59" s="3" t="s">
        <v>99</v>
      </c>
      <c r="D59" s="5">
        <v>1210</v>
      </c>
      <c r="E59" s="5">
        <v>1009</v>
      </c>
      <c r="F59" s="5">
        <v>1012</v>
      </c>
      <c r="G59" s="5">
        <v>981</v>
      </c>
      <c r="H59" s="5">
        <v>1313</v>
      </c>
      <c r="I59" s="5">
        <v>1164</v>
      </c>
      <c r="J59" s="4">
        <v>0</v>
      </c>
      <c r="K59" s="5">
        <v>957</v>
      </c>
      <c r="L59" s="6">
        <f>(J59/K59)-1</f>
      </c>
      <c r="M59" s="7">
        <v>5781</v>
      </c>
      <c r="N59" s="7">
        <f>=SUM(D59:J59)</f>
      </c>
      <c r="O59" s="30">
        <f>(N59/M59)-1</f>
      </c>
    </row>
    <row r="60">
      <c r="B60" s="24" t="s">
        <v>15</v>
      </c>
      <c r="C60" s="2"/>
      <c r="D60" s="9" t="s">
        <v>16</v>
      </c>
      <c r="E60" s="9">
        <f>=(E59/D59)-1</f>
      </c>
      <c r="F60" s="9">
        <f>=(F59/E59)-1</f>
      </c>
      <c r="G60" s="9">
        <f>=(G59/F59)-1</f>
      </c>
      <c r="H60" s="9">
        <f>=(H59/G59)-1</f>
      </c>
      <c r="I60" s="9">
        <f>=(I59/H59)-1</f>
      </c>
      <c r="J60" s="9">
        <f>=(J59/I59)-1</f>
      </c>
      <c r="K60" s="8"/>
      <c r="L60" s="8"/>
      <c r="M60" s="8"/>
      <c r="N60" s="8"/>
      <c r="O60" s="31"/>
    </row>
    <row r="61">
      <c r="B61" s="25" t="s">
        <v>100</v>
      </c>
      <c r="C61" s="10" t="s">
        <v>101</v>
      </c>
      <c r="D61" s="11">
        <v>35.21</v>
      </c>
      <c r="E61" s="11">
        <v>26.65</v>
      </c>
      <c r="F61" s="11">
        <v>28.12</v>
      </c>
      <c r="G61" s="11">
        <v>33.38</v>
      </c>
      <c r="H61" s="11">
        <v>31.14</v>
      </c>
      <c r="I61" s="11">
        <v>36.25</v>
      </c>
      <c r="J61" s="11">
        <v>0</v>
      </c>
      <c r="K61" s="11">
        <v>33.12</v>
      </c>
      <c r="L61" s="12">
        <f>(J61/K61)-1</f>
      </c>
      <c r="M61" s="13">
        <v>379</v>
      </c>
      <c r="N61" s="13">
        <f>=SUM(D61:J61)</f>
      </c>
      <c r="O61" s="32">
        <f>(N61/M61)-1</f>
      </c>
    </row>
    <row r="62">
      <c r="B62" s="25" t="s">
        <v>102</v>
      </c>
      <c r="C62" s="10" t="s">
        <v>103</v>
      </c>
      <c r="D62" s="11">
        <v>0</v>
      </c>
      <c r="E62" s="11">
        <v>0</v>
      </c>
      <c r="F62" s="11">
        <v>2</v>
      </c>
      <c r="G62" s="11">
        <v>0</v>
      </c>
      <c r="H62" s="11">
        <v>1.7</v>
      </c>
      <c r="I62" s="11">
        <v>4</v>
      </c>
      <c r="J62" s="11">
        <v>0</v>
      </c>
      <c r="K62" s="11">
        <v>0</v>
      </c>
      <c r="L62" s="12">
        <f>(J62/K62)-1</f>
      </c>
      <c r="M62" s="13">
        <v>4</v>
      </c>
      <c r="N62" s="13">
        <f>=SUM(D62:J62)</f>
      </c>
      <c r="O62" s="32">
        <f>(N62/M62)-1</f>
      </c>
    </row>
    <row r="63">
      <c r="B63" s="25" t="s">
        <v>104</v>
      </c>
      <c r="C63" s="10" t="s">
        <v>105</v>
      </c>
      <c r="D63" s="11">
        <v>710.25</v>
      </c>
      <c r="E63" s="11">
        <v>535.01</v>
      </c>
      <c r="F63" s="11">
        <v>675.56</v>
      </c>
      <c r="G63" s="11">
        <v>460.17</v>
      </c>
      <c r="H63" s="11">
        <v>895.91</v>
      </c>
      <c r="I63" s="11">
        <v>717.59</v>
      </c>
      <c r="J63" s="11">
        <v>0</v>
      </c>
      <c r="K63" s="11">
        <v>544.64</v>
      </c>
      <c r="L63" s="12">
        <f>(J63/K63)-1</f>
      </c>
      <c r="M63" s="13">
        <v>3936</v>
      </c>
      <c r="N63" s="13">
        <f>=SUM(D63:J63)</f>
      </c>
      <c r="O63" s="32">
        <f>(N63/M63)-1</f>
      </c>
    </row>
    <row r="64">
      <c r="B64" s="25" t="s">
        <v>106</v>
      </c>
      <c r="C64" s="10" t="s">
        <v>107</v>
      </c>
      <c r="D64" s="11">
        <v>6.99</v>
      </c>
      <c r="E64" s="11">
        <v>6.85</v>
      </c>
      <c r="F64" s="11">
        <v>5.47</v>
      </c>
      <c r="G64" s="11">
        <v>2.74</v>
      </c>
      <c r="H64" s="11">
        <v>9.4</v>
      </c>
      <c r="I64" s="11">
        <v>6.51</v>
      </c>
      <c r="J64" s="11">
        <v>0</v>
      </c>
      <c r="K64" s="11">
        <v>7.96</v>
      </c>
      <c r="L64" s="12">
        <f>(J64/K64)-1</f>
      </c>
      <c r="M64" s="13">
        <v>71</v>
      </c>
      <c r="N64" s="13">
        <f>=SUM(D64:J64)</f>
      </c>
      <c r="O64" s="32">
        <f>(N64/M64)-1</f>
      </c>
    </row>
    <row r="65">
      <c r="B65" s="25" t="s">
        <v>108</v>
      </c>
      <c r="C65" s="10" t="s">
        <v>109</v>
      </c>
      <c r="D65" s="11">
        <v>429.84</v>
      </c>
      <c r="E65" s="11">
        <v>410.06</v>
      </c>
      <c r="F65" s="11">
        <v>255.73</v>
      </c>
      <c r="G65" s="11">
        <v>417.83</v>
      </c>
      <c r="H65" s="11">
        <v>340.22</v>
      </c>
      <c r="I65" s="11">
        <v>352</v>
      </c>
      <c r="J65" s="11">
        <v>0</v>
      </c>
      <c r="K65" s="11">
        <v>348.25</v>
      </c>
      <c r="L65" s="12">
        <f>(J65/K65)-1</f>
      </c>
      <c r="M65" s="13">
        <v>1241</v>
      </c>
      <c r="N65" s="13">
        <f>=SUM(D65:J65)</f>
      </c>
      <c r="O65" s="32">
        <f>(N65/M65)-1</f>
      </c>
    </row>
    <row r="66">
      <c r="B66" s="25" t="s">
        <v>110</v>
      </c>
      <c r="C66" s="10" t="s">
        <v>111</v>
      </c>
      <c r="D66" s="11">
        <v>22</v>
      </c>
      <c r="E66" s="11">
        <v>25.31</v>
      </c>
      <c r="F66" s="11">
        <v>38.28</v>
      </c>
      <c r="G66" s="11">
        <v>64.39</v>
      </c>
      <c r="H66" s="11">
        <v>25.34</v>
      </c>
      <c r="I66" s="11">
        <v>33.04</v>
      </c>
      <c r="J66" s="11">
        <v>0</v>
      </c>
      <c r="K66" s="11">
        <v>22.72</v>
      </c>
      <c r="L66" s="12">
        <f>(J66/K66)-1</f>
      </c>
      <c r="M66" s="13">
        <v>150</v>
      </c>
      <c r="N66" s="13">
        <f>=SUM(D66:J66)</f>
      </c>
      <c r="O66" s="32">
        <f>(N66/M66)-1</f>
      </c>
    </row>
    <row r="67">
      <c r="B67" s="25" t="s">
        <v>112</v>
      </c>
      <c r="C67" s="10" t="s">
        <v>113</v>
      </c>
      <c r="D67" s="11">
        <v>6.1</v>
      </c>
      <c r="E67" s="11">
        <v>4.8</v>
      </c>
      <c r="F67" s="11">
        <v>6.35</v>
      </c>
      <c r="G67" s="11">
        <v>2.9</v>
      </c>
      <c r="H67" s="11">
        <v>9.75</v>
      </c>
      <c r="I67" s="11">
        <v>14.9</v>
      </c>
      <c r="J67" s="11">
        <v>0</v>
      </c>
      <c r="K67" s="11">
        <v>0</v>
      </c>
      <c r="L67" s="12">
        <f>(J67/K67)-1</f>
      </c>
      <c r="M67" s="13">
        <v>0</v>
      </c>
      <c r="N67" s="13">
        <f>=SUM(D67:J67)</f>
      </c>
      <c r="O67" s="32">
        <f>(N67/M67)-1</f>
      </c>
    </row>
    <row r="68">
      <c r="B68" s="26"/>
      <c r="O68" s="33"/>
    </row>
    <row r="69">
      <c r="B69" s="23" t="s">
        <v>114</v>
      </c>
      <c r="C69" s="3" t="s">
        <v>115</v>
      </c>
      <c r="D69" s="5">
        <v>11097</v>
      </c>
      <c r="E69" s="5">
        <v>10150</v>
      </c>
      <c r="F69" s="5">
        <v>11821</v>
      </c>
      <c r="G69" s="5">
        <v>10511</v>
      </c>
      <c r="H69" s="5">
        <v>14975</v>
      </c>
      <c r="I69" s="5">
        <v>15345</v>
      </c>
      <c r="J69" s="4">
        <v>0</v>
      </c>
      <c r="K69" s="5">
        <v>14335</v>
      </c>
      <c r="L69" s="6">
        <f>(J69/K69)-1</f>
      </c>
      <c r="M69" s="7">
        <v>98234</v>
      </c>
      <c r="N69" s="7">
        <f>=SUM(D69:J69)</f>
      </c>
      <c r="O69" s="30">
        <f>(N69/M69)-1</f>
      </c>
    </row>
    <row r="70">
      <c r="B70" s="24" t="s">
        <v>15</v>
      </c>
      <c r="C70" s="2"/>
      <c r="D70" s="9" t="s">
        <v>16</v>
      </c>
      <c r="E70" s="9">
        <f>=(E69/D69)-1</f>
      </c>
      <c r="F70" s="9">
        <f>=(F69/E69)-1</f>
      </c>
      <c r="G70" s="9">
        <f>=(G69/F69)-1</f>
      </c>
      <c r="H70" s="9">
        <f>=(H69/G69)-1</f>
      </c>
      <c r="I70" s="9">
        <f>=(I69/H69)-1</f>
      </c>
      <c r="J70" s="9">
        <f>=(J69/I69)-1</f>
      </c>
      <c r="K70" s="8"/>
      <c r="L70" s="8"/>
      <c r="M70" s="8"/>
      <c r="N70" s="8"/>
      <c r="O70" s="31"/>
    </row>
    <row r="71">
      <c r="B71" s="25" t="s">
        <v>116</v>
      </c>
      <c r="C71" s="10" t="s">
        <v>117</v>
      </c>
      <c r="D71" s="11">
        <v>1686.55</v>
      </c>
      <c r="E71" s="11">
        <v>1871.06</v>
      </c>
      <c r="F71" s="11">
        <v>1604.71</v>
      </c>
      <c r="G71" s="11">
        <v>1814.46</v>
      </c>
      <c r="H71" s="11">
        <v>1604.31</v>
      </c>
      <c r="I71" s="11">
        <v>1626.68</v>
      </c>
      <c r="J71" s="11">
        <v>0</v>
      </c>
      <c r="K71" s="11">
        <v>1923.84</v>
      </c>
      <c r="L71" s="12">
        <f>(J71/K71)-1</f>
      </c>
      <c r="M71" s="13">
        <v>14961</v>
      </c>
      <c r="N71" s="13">
        <f>=SUM(D71:J71)</f>
      </c>
      <c r="O71" s="32">
        <f>(N71/M71)-1</f>
      </c>
    </row>
    <row r="72">
      <c r="B72" s="25" t="s">
        <v>118</v>
      </c>
      <c r="C72" s="10" t="s">
        <v>119</v>
      </c>
      <c r="D72" s="11">
        <v>2894.24</v>
      </c>
      <c r="E72" s="11">
        <v>3025.65</v>
      </c>
      <c r="F72" s="11">
        <v>3319.27</v>
      </c>
      <c r="G72" s="11">
        <v>2519.27</v>
      </c>
      <c r="H72" s="11">
        <v>3564.8</v>
      </c>
      <c r="I72" s="11">
        <v>4243.93</v>
      </c>
      <c r="J72" s="11">
        <v>0</v>
      </c>
      <c r="K72" s="11">
        <v>5417.63</v>
      </c>
      <c r="L72" s="12">
        <f>(J72/K72)-1</f>
      </c>
      <c r="M72" s="13">
        <v>28761</v>
      </c>
      <c r="N72" s="13">
        <f>=SUM(D72:J72)</f>
      </c>
      <c r="O72" s="32">
        <f>(N72/M72)-1</f>
      </c>
    </row>
    <row r="73">
      <c r="B73" s="25" t="s">
        <v>120</v>
      </c>
      <c r="C73" s="10" t="s">
        <v>121</v>
      </c>
      <c r="D73" s="11">
        <v>91</v>
      </c>
      <c r="E73" s="11">
        <v>71.47</v>
      </c>
      <c r="F73" s="11">
        <v>104.39</v>
      </c>
      <c r="G73" s="11">
        <v>102.56</v>
      </c>
      <c r="H73" s="11">
        <v>95.02</v>
      </c>
      <c r="I73" s="11">
        <v>125.31</v>
      </c>
      <c r="J73" s="11">
        <v>0</v>
      </c>
      <c r="K73" s="11">
        <v>287.27</v>
      </c>
      <c r="L73" s="12">
        <f>(J73/K73)-1</f>
      </c>
      <c r="M73" s="13">
        <v>2360</v>
      </c>
      <c r="N73" s="13">
        <f>=SUM(D73:J73)</f>
      </c>
      <c r="O73" s="32">
        <f>(N73/M73)-1</f>
      </c>
    </row>
    <row r="74">
      <c r="B74" s="25" t="s">
        <v>122</v>
      </c>
      <c r="C74" s="10" t="s">
        <v>123</v>
      </c>
      <c r="D74" s="11">
        <v>538.17</v>
      </c>
      <c r="E74" s="11">
        <v>482.41</v>
      </c>
      <c r="F74" s="11">
        <v>427.15</v>
      </c>
      <c r="G74" s="11">
        <v>602.39</v>
      </c>
      <c r="H74" s="11">
        <v>957.54</v>
      </c>
      <c r="I74" s="11">
        <v>494.2</v>
      </c>
      <c r="J74" s="11">
        <v>0</v>
      </c>
      <c r="K74" s="11">
        <v>636.28</v>
      </c>
      <c r="L74" s="12">
        <f>(J74/K74)-1</f>
      </c>
      <c r="M74" s="13">
        <v>3954</v>
      </c>
      <c r="N74" s="13">
        <f>=SUM(D74:J74)</f>
      </c>
      <c r="O74" s="32">
        <f>(N74/M74)-1</f>
      </c>
    </row>
    <row r="75">
      <c r="B75" s="25" t="s">
        <v>124</v>
      </c>
      <c r="C75" s="10" t="s">
        <v>125</v>
      </c>
      <c r="D75" s="11">
        <v>188.31</v>
      </c>
      <c r="E75" s="11">
        <v>123.44</v>
      </c>
      <c r="F75" s="11">
        <v>174.91</v>
      </c>
      <c r="G75" s="11">
        <v>202.18</v>
      </c>
      <c r="H75" s="11">
        <v>165.17</v>
      </c>
      <c r="I75" s="11">
        <v>157.14</v>
      </c>
      <c r="J75" s="11">
        <v>0</v>
      </c>
      <c r="K75" s="11">
        <v>256.17</v>
      </c>
      <c r="L75" s="12">
        <f>(J75/K75)-1</f>
      </c>
      <c r="M75" s="13">
        <v>1742</v>
      </c>
      <c r="N75" s="13">
        <f>=SUM(D75:J75)</f>
      </c>
      <c r="O75" s="32">
        <f>(N75/M75)-1</f>
      </c>
    </row>
    <row r="76">
      <c r="B76" s="25" t="s">
        <v>126</v>
      </c>
      <c r="C76" s="10" t="s">
        <v>127</v>
      </c>
      <c r="D76" s="11">
        <v>1201.05</v>
      </c>
      <c r="E76" s="11">
        <v>1689.82</v>
      </c>
      <c r="F76" s="11">
        <v>2634.46</v>
      </c>
      <c r="G76" s="11">
        <v>1634.78</v>
      </c>
      <c r="H76" s="11">
        <v>2363.82</v>
      </c>
      <c r="I76" s="11">
        <v>2290.87</v>
      </c>
      <c r="J76" s="11">
        <v>0</v>
      </c>
      <c r="K76" s="11">
        <v>1786.99</v>
      </c>
      <c r="L76" s="12">
        <f>(J76/K76)-1</f>
      </c>
      <c r="M76" s="13">
        <v>13402</v>
      </c>
      <c r="N76" s="13">
        <f>=SUM(D76:J76)</f>
      </c>
      <c r="O76" s="32">
        <f>(N76/M76)-1</f>
      </c>
    </row>
    <row r="77">
      <c r="B77" s="25" t="s">
        <v>128</v>
      </c>
      <c r="C77" s="10" t="s">
        <v>129</v>
      </c>
      <c r="D77" s="11">
        <v>2350.98</v>
      </c>
      <c r="E77" s="11">
        <v>1786.13</v>
      </c>
      <c r="F77" s="11">
        <v>2148.03</v>
      </c>
      <c r="G77" s="11">
        <v>2308.77</v>
      </c>
      <c r="H77" s="11">
        <v>4986.76</v>
      </c>
      <c r="I77" s="11">
        <v>5019.97</v>
      </c>
      <c r="J77" s="11">
        <v>0</v>
      </c>
      <c r="K77" s="11">
        <v>2513.39</v>
      </c>
      <c r="L77" s="12">
        <f>(J77/K77)-1</f>
      </c>
      <c r="M77" s="13">
        <v>18570</v>
      </c>
      <c r="N77" s="13">
        <f>=SUM(D77:J77)</f>
      </c>
      <c r="O77" s="32">
        <f>(N77/M77)-1</f>
      </c>
    </row>
    <row r="78">
      <c r="B78" s="25" t="s">
        <v>130</v>
      </c>
      <c r="C78" s="10" t="s">
        <v>131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393.08</v>
      </c>
      <c r="L78" s="12">
        <f>(J78/K78)-1</f>
      </c>
      <c r="M78" s="13">
        <v>445</v>
      </c>
      <c r="N78" s="13">
        <f>=SUM(D78:J78)</f>
      </c>
      <c r="O78" s="32">
        <f>(N78/M78)-1</f>
      </c>
    </row>
    <row r="79">
      <c r="B79" s="25" t="s">
        <v>132</v>
      </c>
      <c r="C79" s="10" t="s">
        <v>133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2">
        <f>(J79/K79)-1</f>
      </c>
      <c r="M79" s="13">
        <v>337</v>
      </c>
      <c r="N79" s="13">
        <f>=SUM(D79:J79)</f>
      </c>
      <c r="O79" s="32">
        <f>(N79/M79)-1</f>
      </c>
    </row>
    <row r="80">
      <c r="B80" s="25" t="s">
        <v>134</v>
      </c>
      <c r="C80" s="10" t="s">
        <v>135</v>
      </c>
      <c r="D80" s="11">
        <v>558.9</v>
      </c>
      <c r="E80" s="11">
        <v>662.95</v>
      </c>
      <c r="F80" s="11">
        <v>864.83</v>
      </c>
      <c r="G80" s="11">
        <v>736.71</v>
      </c>
      <c r="H80" s="11">
        <v>681.99</v>
      </c>
      <c r="I80" s="11">
        <v>873.32</v>
      </c>
      <c r="J80" s="11">
        <v>0</v>
      </c>
      <c r="K80" s="11">
        <v>1065.54</v>
      </c>
      <c r="L80" s="12">
        <f>(J80/K80)-1</f>
      </c>
      <c r="M80" s="13">
        <v>5393</v>
      </c>
      <c r="N80" s="13">
        <f>=SUM(D80:J80)</f>
      </c>
      <c r="O80" s="32">
        <f>(N80/M80)-1</f>
      </c>
    </row>
    <row r="81">
      <c r="B81" s="25" t="s">
        <v>136</v>
      </c>
      <c r="C81" s="10" t="s">
        <v>137</v>
      </c>
      <c r="D81" s="11">
        <v>1587.36</v>
      </c>
      <c r="E81" s="11">
        <v>437.49</v>
      </c>
      <c r="F81" s="11">
        <v>542.92</v>
      </c>
      <c r="G81" s="11">
        <v>590.26</v>
      </c>
      <c r="H81" s="11">
        <v>555.44</v>
      </c>
      <c r="I81" s="11">
        <v>513.98</v>
      </c>
      <c r="J81" s="11">
        <v>0</v>
      </c>
      <c r="K81" s="11">
        <v>55.27</v>
      </c>
      <c r="L81" s="12">
        <f>(J81/K81)-1</f>
      </c>
      <c r="M81" s="13">
        <v>8309</v>
      </c>
      <c r="N81" s="13">
        <f>=SUM(D81:J81)</f>
      </c>
      <c r="O81" s="32">
        <f>(N81/M81)-1</f>
      </c>
    </row>
    <row r="82">
      <c r="B82" s="26"/>
      <c r="O82" s="33"/>
    </row>
    <row r="83">
      <c r="B83" s="23" t="s">
        <v>138</v>
      </c>
      <c r="C83" s="3" t="s">
        <v>139</v>
      </c>
      <c r="D83" s="5">
        <v>47713</v>
      </c>
      <c r="E83" s="5">
        <v>38754</v>
      </c>
      <c r="F83" s="5">
        <v>52571</v>
      </c>
      <c r="G83" s="5">
        <v>49264</v>
      </c>
      <c r="H83" s="5">
        <v>49659</v>
      </c>
      <c r="I83" s="5">
        <v>52812</v>
      </c>
      <c r="J83" s="4">
        <v>0</v>
      </c>
      <c r="K83" s="5">
        <v>42596</v>
      </c>
      <c r="L83" s="6">
        <f>(J83/K83)-1</f>
      </c>
      <c r="M83" s="7">
        <v>301263</v>
      </c>
      <c r="N83" s="7">
        <f>=SUM(D83:J83)</f>
      </c>
      <c r="O83" s="30">
        <f>(N83/M83)-1</f>
      </c>
    </row>
    <row r="84">
      <c r="B84" s="24" t="s">
        <v>15</v>
      </c>
      <c r="C84" s="2"/>
      <c r="D84" s="9" t="s">
        <v>16</v>
      </c>
      <c r="E84" s="9">
        <f>=(E83/D83)-1</f>
      </c>
      <c r="F84" s="9">
        <f>=(F83/E83)-1</f>
      </c>
      <c r="G84" s="9">
        <f>=(G83/F83)-1</f>
      </c>
      <c r="H84" s="9">
        <f>=(H83/G83)-1</f>
      </c>
      <c r="I84" s="9">
        <f>=(I83/H83)-1</f>
      </c>
      <c r="J84" s="9">
        <f>=(J83/I83)-1</f>
      </c>
      <c r="K84" s="8"/>
      <c r="L84" s="8"/>
      <c r="M84" s="8"/>
      <c r="N84" s="8"/>
      <c r="O84" s="31"/>
    </row>
    <row r="85">
      <c r="B85" s="25" t="s">
        <v>140</v>
      </c>
      <c r="C85" s="10" t="s">
        <v>70</v>
      </c>
      <c r="D85" s="11">
        <v>2099.43</v>
      </c>
      <c r="E85" s="11">
        <v>1908.48</v>
      </c>
      <c r="F85" s="11">
        <v>3442.22</v>
      </c>
      <c r="G85" s="11">
        <v>1889.95</v>
      </c>
      <c r="H85" s="11">
        <v>2614.54</v>
      </c>
      <c r="I85" s="11">
        <v>2173.91</v>
      </c>
      <c r="J85" s="11">
        <v>0</v>
      </c>
      <c r="K85" s="11">
        <v>1821.14</v>
      </c>
      <c r="L85" s="12">
        <f>(J85/K85)-1</f>
      </c>
      <c r="M85" s="13">
        <v>16617</v>
      </c>
      <c r="N85" s="13">
        <f>=SUM(D85:J85)</f>
      </c>
      <c r="O85" s="32">
        <f>(N85/M85)-1</f>
      </c>
    </row>
    <row r="86">
      <c r="B86" s="25" t="s">
        <v>141</v>
      </c>
      <c r="C86" s="10" t="s">
        <v>68</v>
      </c>
      <c r="D86" s="11">
        <v>4673.17</v>
      </c>
      <c r="E86" s="11">
        <v>2328.38</v>
      </c>
      <c r="F86" s="11">
        <v>870.88</v>
      </c>
      <c r="G86" s="11">
        <v>1020.76</v>
      </c>
      <c r="H86" s="11">
        <v>1115.18</v>
      </c>
      <c r="I86" s="11">
        <v>1335.87</v>
      </c>
      <c r="J86" s="11">
        <v>0</v>
      </c>
      <c r="K86" s="11">
        <v>769.73</v>
      </c>
      <c r="L86" s="12">
        <f>(J86/K86)-1</f>
      </c>
      <c r="M86" s="13">
        <v>18459</v>
      </c>
      <c r="N86" s="13">
        <f>=SUM(D86:J86)</f>
      </c>
      <c r="O86" s="32">
        <f>(N86/M86)-1</f>
      </c>
    </row>
    <row r="87">
      <c r="B87" s="25" t="s">
        <v>142</v>
      </c>
      <c r="C87" s="10" t="s">
        <v>66</v>
      </c>
      <c r="D87" s="11">
        <v>4242.52</v>
      </c>
      <c r="E87" s="11">
        <v>5685.74</v>
      </c>
      <c r="F87" s="11">
        <v>7986.09</v>
      </c>
      <c r="G87" s="11">
        <v>8061.85</v>
      </c>
      <c r="H87" s="11">
        <v>8478.51</v>
      </c>
      <c r="I87" s="11">
        <v>8926.85</v>
      </c>
      <c r="J87" s="11">
        <v>0</v>
      </c>
      <c r="K87" s="11">
        <v>7676.89</v>
      </c>
      <c r="L87" s="12">
        <f>(J87/K87)-1</f>
      </c>
      <c r="M87" s="13">
        <v>58847</v>
      </c>
      <c r="N87" s="13">
        <f>=SUM(D87:J87)</f>
      </c>
      <c r="O87" s="32">
        <f>(N87/M87)-1</f>
      </c>
    </row>
    <row r="88">
      <c r="B88" s="25" t="s">
        <v>143</v>
      </c>
      <c r="C88" s="10" t="s">
        <v>64</v>
      </c>
      <c r="D88" s="11">
        <v>36698.34</v>
      </c>
      <c r="E88" s="11">
        <v>28831.42</v>
      </c>
      <c r="F88" s="11">
        <v>40271.33</v>
      </c>
      <c r="G88" s="11">
        <v>38291.45</v>
      </c>
      <c r="H88" s="11">
        <v>37450.4</v>
      </c>
      <c r="I88" s="11">
        <v>40375.36</v>
      </c>
      <c r="J88" s="11">
        <v>0</v>
      </c>
      <c r="K88" s="11">
        <v>32328.09</v>
      </c>
      <c r="L88" s="12">
        <f>(J88/K88)-1</f>
      </c>
      <c r="M88" s="13">
        <v>207340</v>
      </c>
      <c r="N88" s="13">
        <f>=SUM(D88:J88)</f>
      </c>
      <c r="O88" s="32">
        <f>(N88/M88)-1</f>
      </c>
    </row>
    <row r="89">
      <c r="B89" s="26"/>
      <c r="O89" s="33"/>
    </row>
    <row r="90">
      <c r="B90" s="23" t="s">
        <v>144</v>
      </c>
      <c r="C90" s="3" t="s">
        <v>145</v>
      </c>
      <c r="D90" s="5">
        <v>754</v>
      </c>
      <c r="E90" s="5">
        <v>636</v>
      </c>
      <c r="F90" s="5">
        <v>814</v>
      </c>
      <c r="G90" s="5">
        <v>599</v>
      </c>
      <c r="H90" s="5">
        <v>655</v>
      </c>
      <c r="I90" s="5">
        <v>603</v>
      </c>
      <c r="J90" s="4">
        <v>0</v>
      </c>
      <c r="K90" s="5">
        <v>856</v>
      </c>
      <c r="L90" s="6">
        <f>(J90/K90)-1</f>
      </c>
      <c r="M90" s="7">
        <v>3187</v>
      </c>
      <c r="N90" s="7">
        <f>=SUM(D90:J90)</f>
      </c>
      <c r="O90" s="30">
        <f>(N90/M90)-1</f>
      </c>
    </row>
    <row r="91">
      <c r="B91" s="24" t="s">
        <v>15</v>
      </c>
      <c r="C91" s="2"/>
      <c r="D91" s="9" t="s">
        <v>16</v>
      </c>
      <c r="E91" s="9">
        <f>=(E90/D90)-1</f>
      </c>
      <c r="F91" s="9">
        <f>=(F90/E90)-1</f>
      </c>
      <c r="G91" s="9">
        <f>=(G90/F90)-1</f>
      </c>
      <c r="H91" s="9">
        <f>=(H90/G90)-1</f>
      </c>
      <c r="I91" s="9">
        <f>=(I90/H90)-1</f>
      </c>
      <c r="J91" s="9">
        <f>=(J90/I90)-1</f>
      </c>
      <c r="K91" s="8"/>
      <c r="L91" s="8"/>
      <c r="M91" s="8"/>
      <c r="N91" s="8"/>
      <c r="O91" s="31"/>
    </row>
    <row r="92">
      <c r="B92" s="25" t="s">
        <v>146</v>
      </c>
      <c r="C92" s="10" t="s">
        <v>145</v>
      </c>
      <c r="D92" s="11">
        <v>754.14</v>
      </c>
      <c r="E92" s="11">
        <v>635.75</v>
      </c>
      <c r="F92" s="11">
        <v>814</v>
      </c>
      <c r="G92" s="11">
        <v>598.9</v>
      </c>
      <c r="H92" s="11">
        <v>655.32</v>
      </c>
      <c r="I92" s="11">
        <v>602.5</v>
      </c>
      <c r="J92" s="11">
        <v>0</v>
      </c>
      <c r="K92" s="11">
        <v>856.26</v>
      </c>
      <c r="L92" s="12">
        <f>(J92/K92)-1</f>
      </c>
      <c r="M92" s="13">
        <v>3187</v>
      </c>
      <c r="N92" s="13">
        <f>=SUM(D92:J92)</f>
      </c>
      <c r="O92" s="32">
        <f>(N92/M92)-1</f>
      </c>
    </row>
    <row r="93">
      <c r="B93" s="26"/>
      <c r="O93" s="33"/>
    </row>
    <row r="94">
      <c r="B94" s="23" t="s">
        <v>147</v>
      </c>
      <c r="C94" s="3" t="s">
        <v>148</v>
      </c>
      <c r="D94" s="5">
        <v>1098</v>
      </c>
      <c r="E94" s="5">
        <v>835</v>
      </c>
      <c r="F94" s="5">
        <v>1009</v>
      </c>
      <c r="G94" s="5">
        <v>712</v>
      </c>
      <c r="H94" s="5">
        <v>724</v>
      </c>
      <c r="I94" s="5">
        <v>821</v>
      </c>
      <c r="J94" s="4">
        <v>0</v>
      </c>
      <c r="K94" s="5">
        <v>473</v>
      </c>
      <c r="L94" s="6">
        <f>(J94/K94)-1</f>
      </c>
      <c r="M94" s="7">
        <v>6132</v>
      </c>
      <c r="N94" s="7">
        <f>=SUM(D94:J94)</f>
      </c>
      <c r="O94" s="30">
        <f>(N94/M94)-1</f>
      </c>
    </row>
    <row r="95">
      <c r="B95" s="24" t="s">
        <v>15</v>
      </c>
      <c r="C95" s="2"/>
      <c r="D95" s="9" t="s">
        <v>16</v>
      </c>
      <c r="E95" s="9">
        <f>=(E94/D94)-1</f>
      </c>
      <c r="F95" s="9">
        <f>=(F94/E94)-1</f>
      </c>
      <c r="G95" s="9">
        <f>=(G94/F94)-1</f>
      </c>
      <c r="H95" s="9">
        <f>=(H94/G94)-1</f>
      </c>
      <c r="I95" s="9">
        <f>=(I94/H94)-1</f>
      </c>
      <c r="J95" s="9">
        <f>=(J94/I94)-1</f>
      </c>
      <c r="K95" s="8"/>
      <c r="L95" s="8"/>
      <c r="M95" s="8"/>
      <c r="N95" s="8"/>
      <c r="O95" s="31"/>
    </row>
    <row r="96">
      <c r="B96" s="25" t="s">
        <v>149</v>
      </c>
      <c r="C96" s="10" t="s">
        <v>150</v>
      </c>
      <c r="D96" s="11">
        <v>744.35</v>
      </c>
      <c r="E96" s="11">
        <v>554.45</v>
      </c>
      <c r="F96" s="11">
        <v>527.75</v>
      </c>
      <c r="G96" s="11">
        <v>291.6</v>
      </c>
      <c r="H96" s="11">
        <v>137.2</v>
      </c>
      <c r="I96" s="11">
        <v>136</v>
      </c>
      <c r="J96" s="11">
        <v>0</v>
      </c>
      <c r="K96" s="11">
        <v>79.36</v>
      </c>
      <c r="L96" s="12">
        <f>(J96/K96)-1</f>
      </c>
      <c r="M96" s="13">
        <v>2837</v>
      </c>
      <c r="N96" s="13">
        <f>=SUM(D96:J96)</f>
      </c>
      <c r="O96" s="32">
        <f>(N96/M96)-1</f>
      </c>
    </row>
    <row r="97">
      <c r="B97" s="25" t="s">
        <v>151</v>
      </c>
      <c r="C97" s="10" t="s">
        <v>152</v>
      </c>
      <c r="D97" s="11">
        <v>235.53</v>
      </c>
      <c r="E97" s="11">
        <v>171.56</v>
      </c>
      <c r="F97" s="11">
        <v>324.57</v>
      </c>
      <c r="G97" s="11">
        <v>293.79</v>
      </c>
      <c r="H97" s="11">
        <v>405.61</v>
      </c>
      <c r="I97" s="11">
        <v>372.5</v>
      </c>
      <c r="J97" s="11">
        <v>0</v>
      </c>
      <c r="K97" s="11">
        <v>261.32</v>
      </c>
      <c r="L97" s="12">
        <f>(J97/K97)-1</f>
      </c>
      <c r="M97" s="13">
        <v>2455</v>
      </c>
      <c r="N97" s="13">
        <f>=SUM(D97:J97)</f>
      </c>
      <c r="O97" s="32">
        <f>(N97/M97)-1</f>
      </c>
    </row>
    <row r="98">
      <c r="B98" s="25" t="s">
        <v>153</v>
      </c>
      <c r="C98" s="10" t="s">
        <v>154</v>
      </c>
      <c r="D98" s="11">
        <v>8.4</v>
      </c>
      <c r="E98" s="11">
        <v>2</v>
      </c>
      <c r="F98" s="11">
        <v>4.83</v>
      </c>
      <c r="G98" s="11">
        <v>7.65</v>
      </c>
      <c r="H98" s="11">
        <v>60.75</v>
      </c>
      <c r="I98" s="11">
        <v>92.6</v>
      </c>
      <c r="J98" s="11">
        <v>0</v>
      </c>
      <c r="K98" s="11">
        <v>32.41</v>
      </c>
      <c r="L98" s="12">
        <f>(J98/K98)-1</f>
      </c>
      <c r="M98" s="13">
        <v>175</v>
      </c>
      <c r="N98" s="13">
        <f>=SUM(D98:J98)</f>
      </c>
      <c r="O98" s="32">
        <f>(N98/M98)-1</f>
      </c>
    </row>
    <row r="99">
      <c r="B99" s="25" t="s">
        <v>155</v>
      </c>
      <c r="C99" s="10" t="s">
        <v>156</v>
      </c>
      <c r="D99" s="11">
        <v>110.09</v>
      </c>
      <c r="E99" s="11">
        <v>106.8</v>
      </c>
      <c r="F99" s="11">
        <v>151.62</v>
      </c>
      <c r="G99" s="11">
        <v>118.69</v>
      </c>
      <c r="H99" s="11">
        <v>120.68</v>
      </c>
      <c r="I99" s="11">
        <v>220.1</v>
      </c>
      <c r="J99" s="11">
        <v>0</v>
      </c>
      <c r="K99" s="11">
        <v>99.55</v>
      </c>
      <c r="L99" s="12">
        <f>(J99/K99)-1</f>
      </c>
      <c r="M99" s="13">
        <v>665</v>
      </c>
      <c r="N99" s="13">
        <f>=SUM(D99:J99)</f>
      </c>
      <c r="O99" s="32">
        <f>(N99/M99)-1</f>
      </c>
    </row>
    <row r="100">
      <c r="B100" s="26"/>
      <c r="O100" s="33"/>
    </row>
    <row r="101">
      <c r="B101" s="23" t="s">
        <v>157</v>
      </c>
      <c r="C101" s="3" t="s">
        <v>158</v>
      </c>
      <c r="D101" s="5">
        <v>1459</v>
      </c>
      <c r="E101" s="5">
        <v>147</v>
      </c>
      <c r="F101" s="5">
        <v>142</v>
      </c>
      <c r="G101" s="5">
        <v>1</v>
      </c>
      <c r="H101" s="5">
        <v>102</v>
      </c>
      <c r="I101" s="5">
        <v>163</v>
      </c>
      <c r="J101" s="4">
        <v>0</v>
      </c>
      <c r="K101" s="5">
        <v>113</v>
      </c>
      <c r="L101" s="6">
        <f>(J101/K101)-1</f>
      </c>
      <c r="M101" s="7">
        <v>560</v>
      </c>
      <c r="N101" s="7">
        <f>=SUM(D101:J101)</f>
      </c>
      <c r="O101" s="30">
        <f>(N101/M101)-1</f>
      </c>
    </row>
    <row r="102">
      <c r="B102" s="24" t="s">
        <v>15</v>
      </c>
      <c r="C102" s="2"/>
      <c r="D102" s="9" t="s">
        <v>16</v>
      </c>
      <c r="E102" s="9">
        <f>=(E101/D101)-1</f>
      </c>
      <c r="F102" s="9">
        <f>=(F101/E101)-1</f>
      </c>
      <c r="G102" s="9">
        <f>=(G101/F101)-1</f>
      </c>
      <c r="H102" s="9">
        <f>=(H101/G101)-1</f>
      </c>
      <c r="I102" s="9">
        <f>=(I101/H101)-1</f>
      </c>
      <c r="J102" s="9">
        <f>=(J101/I101)-1</f>
      </c>
      <c r="K102" s="8"/>
      <c r="L102" s="8"/>
      <c r="M102" s="8"/>
      <c r="N102" s="8"/>
      <c r="O102" s="31"/>
    </row>
    <row r="103">
      <c r="B103" s="25" t="s">
        <v>159</v>
      </c>
      <c r="C103" s="10" t="s">
        <v>160</v>
      </c>
      <c r="D103" s="11">
        <v>1458.63</v>
      </c>
      <c r="E103" s="11">
        <v>146.72</v>
      </c>
      <c r="F103" s="11">
        <v>141.9</v>
      </c>
      <c r="G103" s="11">
        <v>1</v>
      </c>
      <c r="H103" s="11">
        <v>102.28</v>
      </c>
      <c r="I103" s="11">
        <v>162.84</v>
      </c>
      <c r="J103" s="11">
        <v>0</v>
      </c>
      <c r="K103" s="11">
        <v>113.36</v>
      </c>
      <c r="L103" s="12">
        <f>(J103/K103)-1</f>
      </c>
      <c r="M103" s="13">
        <v>560</v>
      </c>
      <c r="N103" s="13">
        <f>=SUM(D103:J103)</f>
      </c>
      <c r="O103" s="32">
        <f>(N103/M103)-1</f>
      </c>
    </row>
    <row r="104">
      <c r="B104" s="26"/>
      <c r="O104" s="33"/>
    </row>
    <row r="105">
      <c r="B105" s="23" t="s">
        <v>161</v>
      </c>
      <c r="C105" s="3" t="s">
        <v>162</v>
      </c>
      <c r="D105" s="5">
        <v>153</v>
      </c>
      <c r="E105" s="5">
        <v>158</v>
      </c>
      <c r="F105" s="5">
        <v>205</v>
      </c>
      <c r="G105" s="5">
        <v>138</v>
      </c>
      <c r="H105" s="5">
        <v>129</v>
      </c>
      <c r="I105" s="5">
        <v>126</v>
      </c>
      <c r="J105" s="4">
        <v>0</v>
      </c>
      <c r="K105" s="5">
        <v>155</v>
      </c>
      <c r="L105" s="6">
        <f>(J105/K105)-1</f>
      </c>
      <c r="M105" s="7">
        <v>1022</v>
      </c>
      <c r="N105" s="7">
        <f>=SUM(D105:J105)</f>
      </c>
      <c r="O105" s="30">
        <f>(N105/M105)-1</f>
      </c>
    </row>
    <row r="106">
      <c r="B106" s="24" t="s">
        <v>15</v>
      </c>
      <c r="C106" s="2"/>
      <c r="D106" s="9" t="s">
        <v>16</v>
      </c>
      <c r="E106" s="9">
        <f>=(E105/D105)-1</f>
      </c>
      <c r="F106" s="9">
        <f>=(F105/E105)-1</f>
      </c>
      <c r="G106" s="9">
        <f>=(G105/F105)-1</f>
      </c>
      <c r="H106" s="9">
        <f>=(H105/G105)-1</f>
      </c>
      <c r="I106" s="9">
        <f>=(I105/H105)-1</f>
      </c>
      <c r="J106" s="9">
        <f>=(J105/I105)-1</f>
      </c>
      <c r="K106" s="8"/>
      <c r="L106" s="8"/>
      <c r="M106" s="8"/>
      <c r="N106" s="8"/>
      <c r="O106" s="31"/>
    </row>
    <row r="107">
      <c r="B107" s="25" t="s">
        <v>161</v>
      </c>
      <c r="C107" s="10" t="s">
        <v>162</v>
      </c>
      <c r="D107" s="11">
        <v>152.59</v>
      </c>
      <c r="E107" s="11">
        <v>158.27</v>
      </c>
      <c r="F107" s="11">
        <v>204.73</v>
      </c>
      <c r="G107" s="11">
        <v>138</v>
      </c>
      <c r="H107" s="11">
        <v>128.99</v>
      </c>
      <c r="I107" s="11">
        <v>126.16</v>
      </c>
      <c r="J107" s="11">
        <v>0</v>
      </c>
      <c r="K107" s="11">
        <v>154.78</v>
      </c>
      <c r="L107" s="12">
        <f>(J107/K107)-1</f>
      </c>
      <c r="M107" s="13">
        <v>1022</v>
      </c>
      <c r="N107" s="13">
        <f>=SUM(D107:J107)</f>
      </c>
      <c r="O107" s="32">
        <f>(N107/M107)-1</f>
      </c>
    </row>
    <row r="108">
      <c r="B108" s="26"/>
      <c r="O108" s="33"/>
    </row>
    <row r="109">
      <c r="B109" s="23" t="s">
        <v>163</v>
      </c>
      <c r="C109" s="3" t="s">
        <v>164</v>
      </c>
      <c r="D109" s="5">
        <v>1176</v>
      </c>
      <c r="E109" s="5">
        <v>1321</v>
      </c>
      <c r="F109" s="5">
        <v>1608</v>
      </c>
      <c r="G109" s="5">
        <v>1505</v>
      </c>
      <c r="H109" s="5">
        <v>1776</v>
      </c>
      <c r="I109" s="5">
        <v>1588</v>
      </c>
      <c r="J109" s="4">
        <v>0</v>
      </c>
      <c r="K109" s="5">
        <v>2621</v>
      </c>
      <c r="L109" s="6">
        <f>(J109/K109)-1</f>
      </c>
      <c r="M109" s="7">
        <v>13365</v>
      </c>
      <c r="N109" s="7">
        <f>=SUM(D109:J109)</f>
      </c>
      <c r="O109" s="30">
        <f>(N109/M109)-1</f>
      </c>
    </row>
    <row r="110">
      <c r="B110" s="24" t="s">
        <v>15</v>
      </c>
      <c r="C110" s="2"/>
      <c r="D110" s="9" t="s">
        <v>16</v>
      </c>
      <c r="E110" s="9">
        <f>=(E109/D109)-1</f>
      </c>
      <c r="F110" s="9">
        <f>=(F109/E109)-1</f>
      </c>
      <c r="G110" s="9">
        <f>=(G109/F109)-1</f>
      </c>
      <c r="H110" s="9">
        <f>=(H109/G109)-1</f>
      </c>
      <c r="I110" s="9">
        <f>=(I109/H109)-1</f>
      </c>
      <c r="J110" s="9">
        <f>=(J109/I109)-1</f>
      </c>
      <c r="K110" s="8"/>
      <c r="L110" s="8"/>
      <c r="M110" s="8"/>
      <c r="N110" s="8"/>
      <c r="O110" s="31"/>
    </row>
    <row r="111">
      <c r="B111" s="25" t="s">
        <v>163</v>
      </c>
      <c r="C111" s="10" t="s">
        <v>164</v>
      </c>
      <c r="D111" s="11">
        <v>1175.81</v>
      </c>
      <c r="E111" s="11">
        <v>1321.06</v>
      </c>
      <c r="F111" s="11">
        <v>1608</v>
      </c>
      <c r="G111" s="11">
        <v>1505.06</v>
      </c>
      <c r="H111" s="11">
        <v>1775.81</v>
      </c>
      <c r="I111" s="11">
        <v>1588.15</v>
      </c>
      <c r="J111" s="11">
        <v>0</v>
      </c>
      <c r="K111" s="11">
        <v>2621.44</v>
      </c>
      <c r="L111" s="12">
        <f>(J111/K111)-1</f>
      </c>
      <c r="M111" s="13">
        <v>13365</v>
      </c>
      <c r="N111" s="13">
        <f>=SUM(D111:J111)</f>
      </c>
      <c r="O111" s="32">
        <f>(N111/M111)-1</f>
      </c>
    </row>
    <row r="112">
      <c r="B112" s="26"/>
      <c r="O112" s="33"/>
    </row>
    <row r="113">
      <c r="B113" s="27" t="s">
        <v>165</v>
      </c>
      <c r="C113" s="2"/>
      <c r="D113" s="14">
        <v>552703</v>
      </c>
      <c r="E113" s="14">
        <v>521644</v>
      </c>
      <c r="F113" s="14">
        <v>598184</v>
      </c>
      <c r="G113" s="14">
        <v>539345</v>
      </c>
      <c r="H113" s="14">
        <v>601932</v>
      </c>
      <c r="I113" s="14">
        <v>601657</v>
      </c>
      <c r="J113" s="14">
        <v>0</v>
      </c>
      <c r="K113" s="14">
        <v>579395</v>
      </c>
      <c r="L113" s="15">
        <f>(K113/J113)-1</f>
      </c>
      <c r="M113" s="11">
        <v>4030823</v>
      </c>
      <c r="N113" s="11">
        <f>=SUM(D113:J113)</f>
      </c>
      <c r="O113" s="32">
        <f>(N113/M113)-1</f>
      </c>
    </row>
    <row r="114">
      <c r="B114" s="28" t="s">
        <v>15</v>
      </c>
      <c r="C114" s="19"/>
      <c r="D114" s="20" t="s">
        <v>16</v>
      </c>
      <c r="E114" s="20">
        <f>=(E113/D113)-1</f>
      </c>
      <c r="F114" s="20">
        <f>=(F113/E113)-1</f>
      </c>
      <c r="G114" s="20">
        <f>=(G113/F113)-1</f>
      </c>
      <c r="H114" s="20">
        <f>=(H113/G113)-1</f>
      </c>
      <c r="I114" s="20">
        <f>=(I113/H113)-1</f>
      </c>
      <c r="J114" s="20">
        <f>=(J113/I113)-1</f>
      </c>
      <c r="K114" s="21"/>
      <c r="L114" s="21"/>
      <c r="M114" s="21"/>
      <c r="N114" s="21"/>
      <c r="O114" s="34"/>
    </row>
  </sheetData>
  <mergeCells>
    <mergeCell ref="B2:C2"/>
    <mergeCell ref="B4:C4"/>
    <mergeCell ref="K4:O4"/>
    <mergeCell ref="B13:C13"/>
    <mergeCell ref="K13:O13"/>
    <mergeCell ref="B25:C25"/>
    <mergeCell ref="K25:O25"/>
    <mergeCell ref="B32:C32"/>
    <mergeCell ref="K32:O32"/>
    <mergeCell ref="B40:C40"/>
    <mergeCell ref="K40:O40"/>
    <mergeCell ref="B49:C49"/>
    <mergeCell ref="K49:O49"/>
    <mergeCell ref="B54:C54"/>
    <mergeCell ref="K54:O54"/>
    <mergeCell ref="B60:C60"/>
    <mergeCell ref="K60:O60"/>
    <mergeCell ref="B70:C70"/>
    <mergeCell ref="K70:O70"/>
    <mergeCell ref="B84:C84"/>
    <mergeCell ref="K84:O84"/>
    <mergeCell ref="B91:C91"/>
    <mergeCell ref="K91:O91"/>
    <mergeCell ref="B95:C95"/>
    <mergeCell ref="K95:O95"/>
    <mergeCell ref="B102:C102"/>
    <mergeCell ref="K102:O102"/>
    <mergeCell ref="B106:C106"/>
    <mergeCell ref="K106:O106"/>
    <mergeCell ref="B110:C110"/>
    <mergeCell ref="K110:O110"/>
    <mergeCell ref="B113:C113"/>
    <mergeCell ref="B114:C11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2:L116"/>
  <sheetViews>
    <sheetView workbookViewId="0"/>
  </sheetViews>
  <sheetFormatPr defaultRowHeight="14.25" customHeight="1"/>
  <cols>
    <col min="1" max="16384" width="2" customWidth="1" style="1"/>
    <col min="2" max="16384" width="9.140625" customWidth="1" style="1"/>
    <col min="3" max="3" width="35" customWidth="1" style="1"/>
    <col min="4" max="4" width="15" customWidth="1" style="1"/>
    <col min="5" max="5" width="12" customWidth="1" style="1"/>
    <col min="6" max="6" width="12" customWidth="1" style="1"/>
    <col min="7" max="7" width="12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6384" width="9.140625" customWidth="1" style="1"/>
  </cols>
  <sheetData>
    <row r="2" ht="30" customHeight="1">
      <c r="B2" s="44" t="s">
        <v>166</v>
      </c>
      <c r="C2" s="41"/>
      <c r="D2" s="17" t="s">
        <v>167</v>
      </c>
      <c r="E2" s="17" t="s">
        <v>168</v>
      </c>
      <c r="F2" s="17" t="s">
        <v>1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49" t="s">
        <v>7</v>
      </c>
    </row>
    <row r="3">
      <c r="B3" s="45" t="s">
        <v>169</v>
      </c>
      <c r="C3" s="37" t="s">
        <v>170</v>
      </c>
      <c r="D3" s="38">
        <f>=SUM(F3:L3)</f>
      </c>
      <c r="E3" s="39">
        <f>=(D3/D111)</f>
      </c>
      <c r="F3" s="40">
        <v>351.97</v>
      </c>
      <c r="G3" s="40">
        <v>291.91</v>
      </c>
      <c r="H3" s="40">
        <v>268.58</v>
      </c>
      <c r="I3" s="40">
        <v>142.96</v>
      </c>
      <c r="J3" s="40">
        <v>140.97</v>
      </c>
      <c r="K3" s="40">
        <v>195.92</v>
      </c>
      <c r="L3" s="50">
        <v>0</v>
      </c>
    </row>
    <row r="4">
      <c r="B4" s="45" t="s">
        <v>171</v>
      </c>
      <c r="C4" s="37" t="s">
        <v>172</v>
      </c>
      <c r="D4" s="38">
        <f>=SUM(F4:L4)</f>
      </c>
      <c r="E4" s="39">
        <f>=(D4/D111)</f>
      </c>
      <c r="F4" s="40">
        <v>101.72</v>
      </c>
      <c r="G4" s="40">
        <v>101.16</v>
      </c>
      <c r="H4" s="40">
        <v>128.75</v>
      </c>
      <c r="I4" s="40">
        <v>102.25</v>
      </c>
      <c r="J4" s="40">
        <v>106.55</v>
      </c>
      <c r="K4" s="40">
        <v>164.54</v>
      </c>
      <c r="L4" s="50">
        <v>0</v>
      </c>
    </row>
    <row r="5">
      <c r="B5" s="45" t="s">
        <v>173</v>
      </c>
      <c r="C5" s="37" t="s">
        <v>174</v>
      </c>
      <c r="D5" s="38">
        <f>=SUM(F5:L5)</f>
      </c>
      <c r="E5" s="39">
        <f>=(D5/D111)</f>
      </c>
      <c r="F5" s="40">
        <v>177.4</v>
      </c>
      <c r="G5" s="40">
        <v>156.77</v>
      </c>
      <c r="H5" s="40">
        <v>193.71</v>
      </c>
      <c r="I5" s="40">
        <v>97.32</v>
      </c>
      <c r="J5" s="40">
        <v>212.47</v>
      </c>
      <c r="K5" s="40">
        <v>182.94</v>
      </c>
      <c r="L5" s="50">
        <v>0</v>
      </c>
    </row>
    <row r="6">
      <c r="B6" s="45" t="s">
        <v>175</v>
      </c>
      <c r="C6" s="37" t="s">
        <v>176</v>
      </c>
      <c r="D6" s="38">
        <f>=SUM(F6:L6)</f>
      </c>
      <c r="E6" s="39">
        <f>=(D6/D111)</f>
      </c>
      <c r="F6" s="40">
        <v>334.31</v>
      </c>
      <c r="G6" s="40">
        <v>556.88</v>
      </c>
      <c r="H6" s="40">
        <v>713.93</v>
      </c>
      <c r="I6" s="40">
        <v>635.31</v>
      </c>
      <c r="J6" s="40">
        <v>768.03</v>
      </c>
      <c r="K6" s="40">
        <v>781.32</v>
      </c>
      <c r="L6" s="50">
        <v>0</v>
      </c>
    </row>
    <row r="7">
      <c r="B7" s="45" t="s">
        <v>177</v>
      </c>
      <c r="C7" s="37" t="s">
        <v>178</v>
      </c>
      <c r="D7" s="38">
        <f>=SUM(F7:L7)</f>
      </c>
      <c r="E7" s="39">
        <f>=(D7/D111)</f>
      </c>
      <c r="F7" s="40">
        <v>3.05</v>
      </c>
      <c r="G7" s="40">
        <v>3.04</v>
      </c>
      <c r="H7" s="40">
        <v>0.05</v>
      </c>
      <c r="I7" s="40">
        <v>3.06</v>
      </c>
      <c r="J7" s="40">
        <v>0.06</v>
      </c>
      <c r="K7" s="40">
        <v>3.07</v>
      </c>
      <c r="L7" s="50">
        <v>0</v>
      </c>
    </row>
    <row r="8">
      <c r="B8" s="45" t="s">
        <v>179</v>
      </c>
      <c r="C8" s="37" t="s">
        <v>180</v>
      </c>
      <c r="D8" s="38">
        <f>=SUM(F8:L8)</f>
      </c>
      <c r="E8" s="39">
        <f>=(D8/D111)</f>
      </c>
      <c r="F8" s="40">
        <v>6139</v>
      </c>
      <c r="G8" s="40">
        <v>7284</v>
      </c>
      <c r="H8" s="40">
        <v>9179.1</v>
      </c>
      <c r="I8" s="40">
        <v>5370</v>
      </c>
      <c r="J8" s="40">
        <v>8959.2</v>
      </c>
      <c r="K8" s="40">
        <v>11043.1</v>
      </c>
      <c r="L8" s="50">
        <v>0</v>
      </c>
    </row>
    <row r="9">
      <c r="B9" s="45" t="s">
        <v>181</v>
      </c>
      <c r="C9" s="37" t="s">
        <v>182</v>
      </c>
      <c r="D9" s="38">
        <f>=SUM(F9:L9)</f>
      </c>
      <c r="E9" s="39">
        <f>=(D9/D111)</f>
      </c>
      <c r="F9" s="40">
        <v>8041.65</v>
      </c>
      <c r="G9" s="40">
        <v>5360.08</v>
      </c>
      <c r="H9" s="40">
        <v>4525.7</v>
      </c>
      <c r="I9" s="40">
        <v>3319.41</v>
      </c>
      <c r="J9" s="40">
        <v>3379.19</v>
      </c>
      <c r="K9" s="40">
        <v>2158.53</v>
      </c>
      <c r="L9" s="50">
        <v>0</v>
      </c>
    </row>
    <row r="10">
      <c r="B10" s="45" t="s">
        <v>183</v>
      </c>
      <c r="C10" s="37" t="s">
        <v>184</v>
      </c>
      <c r="D10" s="38">
        <f>=SUM(F10:L10)</f>
      </c>
      <c r="E10" s="39">
        <f>=(D10/D111)</f>
      </c>
      <c r="F10" s="40">
        <v>2793.11</v>
      </c>
      <c r="G10" s="40">
        <v>2596.56</v>
      </c>
      <c r="H10" s="40">
        <v>2808.16</v>
      </c>
      <c r="I10" s="40">
        <v>2718.17</v>
      </c>
      <c r="J10" s="40">
        <v>2900.93</v>
      </c>
      <c r="K10" s="40">
        <v>2227.31</v>
      </c>
      <c r="L10" s="50">
        <v>0</v>
      </c>
    </row>
    <row r="11">
      <c r="B11" s="45" t="s">
        <v>185</v>
      </c>
      <c r="C11" s="37" t="s">
        <v>186</v>
      </c>
      <c r="D11" s="38">
        <f>=SUM(F11:L11)</f>
      </c>
      <c r="E11" s="39">
        <f>=(D11/D111)</f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50">
        <v>0</v>
      </c>
    </row>
    <row r="12">
      <c r="B12" s="45" t="s">
        <v>187</v>
      </c>
      <c r="C12" s="37" t="s">
        <v>188</v>
      </c>
      <c r="D12" s="38">
        <f>=SUM(F12:L12)</f>
      </c>
      <c r="E12" s="39">
        <f>=(D12/D111)</f>
      </c>
      <c r="F12" s="40">
        <v>9.73</v>
      </c>
      <c r="G12" s="40">
        <v>15</v>
      </c>
      <c r="H12" s="40">
        <v>20.5</v>
      </c>
      <c r="I12" s="40">
        <v>4</v>
      </c>
      <c r="J12" s="40">
        <v>4</v>
      </c>
      <c r="K12" s="40">
        <v>10</v>
      </c>
      <c r="L12" s="50">
        <v>0</v>
      </c>
    </row>
    <row r="13">
      <c r="B13" s="45" t="s">
        <v>189</v>
      </c>
      <c r="C13" s="37" t="s">
        <v>190</v>
      </c>
      <c r="D13" s="38">
        <f>=SUM(F13:L13)</f>
      </c>
      <c r="E13" s="39">
        <f>=(D13/D111)</f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50">
        <v>0</v>
      </c>
    </row>
    <row r="14">
      <c r="B14" s="45" t="s">
        <v>191</v>
      </c>
      <c r="C14" s="37" t="s">
        <v>192</v>
      </c>
      <c r="D14" s="38">
        <f>=SUM(F14:L14)</f>
      </c>
      <c r="E14" s="39">
        <f>=(D14/D111)</f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50">
        <v>0</v>
      </c>
    </row>
    <row r="15">
      <c r="B15" s="45" t="s">
        <v>193</v>
      </c>
      <c r="C15" s="37" t="s">
        <v>194</v>
      </c>
      <c r="D15" s="38">
        <f>=SUM(F15:L15)</f>
      </c>
      <c r="E15" s="39">
        <f>=(D15/D111)</f>
      </c>
      <c r="F15" s="40">
        <v>701.66</v>
      </c>
      <c r="G15" s="40">
        <v>769.03</v>
      </c>
      <c r="H15" s="40">
        <v>660.92</v>
      </c>
      <c r="I15" s="40">
        <v>713.4</v>
      </c>
      <c r="J15" s="40">
        <v>835.18</v>
      </c>
      <c r="K15" s="40">
        <v>637.44</v>
      </c>
      <c r="L15" s="50">
        <v>0</v>
      </c>
    </row>
    <row r="16">
      <c r="B16" s="45" t="s">
        <v>195</v>
      </c>
      <c r="C16" s="37" t="s">
        <v>196</v>
      </c>
      <c r="D16" s="38">
        <f>=SUM(F16:L16)</f>
      </c>
      <c r="E16" s="39">
        <f>=(D16/D111)</f>
      </c>
      <c r="F16" s="40">
        <v>1.87</v>
      </c>
      <c r="G16" s="40">
        <v>0.04</v>
      </c>
      <c r="H16" s="40">
        <v>34</v>
      </c>
      <c r="I16" s="40">
        <v>2.91</v>
      </c>
      <c r="J16" s="40">
        <v>6.1</v>
      </c>
      <c r="K16" s="40">
        <v>0.1</v>
      </c>
      <c r="L16" s="50">
        <v>0</v>
      </c>
    </row>
    <row r="17">
      <c r="B17" s="45" t="s">
        <v>197</v>
      </c>
      <c r="C17" s="37" t="s">
        <v>198</v>
      </c>
      <c r="D17" s="38">
        <f>=SUM(F17:L17)</f>
      </c>
      <c r="E17" s="39">
        <f>=(D17/D111)</f>
      </c>
      <c r="F17" s="40">
        <v>904</v>
      </c>
      <c r="G17" s="40">
        <v>843.56</v>
      </c>
      <c r="H17" s="40">
        <v>1108.55</v>
      </c>
      <c r="I17" s="40">
        <v>572.97</v>
      </c>
      <c r="J17" s="40">
        <v>751.36</v>
      </c>
      <c r="K17" s="40">
        <v>730.11</v>
      </c>
      <c r="L17" s="50">
        <v>0</v>
      </c>
    </row>
    <row r="18">
      <c r="B18" s="45" t="s">
        <v>199</v>
      </c>
      <c r="C18" s="37" t="s">
        <v>200</v>
      </c>
      <c r="D18" s="38">
        <f>=SUM(F18:L18)</f>
      </c>
      <c r="E18" s="39">
        <f>=(D18/D111)</f>
      </c>
      <c r="F18" s="40">
        <v>0</v>
      </c>
      <c r="G18" s="40">
        <v>36</v>
      </c>
      <c r="H18" s="40">
        <v>0</v>
      </c>
      <c r="I18" s="40">
        <v>28</v>
      </c>
      <c r="J18" s="40">
        <v>0</v>
      </c>
      <c r="K18" s="40">
        <v>0</v>
      </c>
      <c r="L18" s="50">
        <v>0</v>
      </c>
    </row>
    <row r="19">
      <c r="B19" s="45" t="s">
        <v>201</v>
      </c>
      <c r="C19" s="37" t="s">
        <v>202</v>
      </c>
      <c r="D19" s="38">
        <f>=SUM(F19:L19)</f>
      </c>
      <c r="E19" s="39">
        <f>=(D19/D111)</f>
      </c>
      <c r="F19" s="40">
        <v>0</v>
      </c>
      <c r="G19" s="40">
        <v>25</v>
      </c>
      <c r="H19" s="40">
        <v>107</v>
      </c>
      <c r="I19" s="40">
        <v>25</v>
      </c>
      <c r="J19" s="40">
        <v>34</v>
      </c>
      <c r="K19" s="40">
        <v>29.62</v>
      </c>
      <c r="L19" s="50">
        <v>0</v>
      </c>
    </row>
    <row r="20">
      <c r="B20" s="45" t="s">
        <v>203</v>
      </c>
      <c r="C20" s="37" t="s">
        <v>204</v>
      </c>
      <c r="D20" s="38">
        <f>=SUM(F20:L20)</f>
      </c>
      <c r="E20" s="39">
        <f>=(D20/D111)</f>
      </c>
      <c r="F20" s="40">
        <v>0</v>
      </c>
      <c r="G20" s="40">
        <v>0</v>
      </c>
      <c r="H20" s="40">
        <v>0</v>
      </c>
      <c r="I20" s="40">
        <v>0</v>
      </c>
      <c r="J20" s="40">
        <v>35</v>
      </c>
      <c r="K20" s="40">
        <v>30</v>
      </c>
      <c r="L20" s="50">
        <v>0</v>
      </c>
    </row>
    <row r="21">
      <c r="B21" s="45" t="s">
        <v>205</v>
      </c>
      <c r="C21" s="37" t="s">
        <v>206</v>
      </c>
      <c r="D21" s="38">
        <f>=SUM(F21:L21)</f>
      </c>
      <c r="E21" s="39">
        <f>=(D21/D111)</f>
      </c>
      <c r="F21" s="40">
        <v>2306.8</v>
      </c>
      <c r="G21" s="40">
        <v>2246.3</v>
      </c>
      <c r="H21" s="40">
        <v>2647.28</v>
      </c>
      <c r="I21" s="40">
        <v>2876.48</v>
      </c>
      <c r="J21" s="40">
        <v>2868.01</v>
      </c>
      <c r="K21" s="40">
        <v>2537.75</v>
      </c>
      <c r="L21" s="50">
        <v>0</v>
      </c>
    </row>
    <row r="22">
      <c r="B22" s="45" t="s">
        <v>207</v>
      </c>
      <c r="C22" s="37" t="s">
        <v>208</v>
      </c>
      <c r="D22" s="38">
        <f>=SUM(F22:L22)</f>
      </c>
      <c r="E22" s="39">
        <f>=(D22/D111)</f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50">
        <v>0</v>
      </c>
    </row>
    <row r="23">
      <c r="B23" s="45" t="s">
        <v>209</v>
      </c>
      <c r="C23" s="37" t="s">
        <v>210</v>
      </c>
      <c r="D23" s="38">
        <f>=SUM(F23:L23)</f>
      </c>
      <c r="E23" s="39">
        <f>=(D23/D111)</f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50">
        <v>0</v>
      </c>
    </row>
    <row r="24">
      <c r="B24" s="45" t="s">
        <v>211</v>
      </c>
      <c r="C24" s="37" t="s">
        <v>212</v>
      </c>
      <c r="D24" s="38">
        <f>=SUM(F24:L24)</f>
      </c>
      <c r="E24" s="39">
        <f>=(D24/D111)</f>
      </c>
      <c r="F24" s="40">
        <v>14.9</v>
      </c>
      <c r="G24" s="40">
        <v>19.53</v>
      </c>
      <c r="H24" s="40">
        <v>14.75</v>
      </c>
      <c r="I24" s="40">
        <v>15.21</v>
      </c>
      <c r="J24" s="40">
        <v>18.86</v>
      </c>
      <c r="K24" s="40">
        <v>35.75</v>
      </c>
      <c r="L24" s="50">
        <v>0</v>
      </c>
    </row>
    <row r="25">
      <c r="B25" s="45" t="s">
        <v>213</v>
      </c>
      <c r="C25" s="37" t="s">
        <v>214</v>
      </c>
      <c r="D25" s="38">
        <f>=SUM(F25:L25)</f>
      </c>
      <c r="E25" s="39">
        <f>=(D25/D111)</f>
      </c>
      <c r="F25" s="40">
        <v>82.3</v>
      </c>
      <c r="G25" s="40">
        <v>70.91</v>
      </c>
      <c r="H25" s="40">
        <v>116.69</v>
      </c>
      <c r="I25" s="40">
        <v>116.3</v>
      </c>
      <c r="J25" s="40">
        <v>118.09</v>
      </c>
      <c r="K25" s="40">
        <v>113.99</v>
      </c>
      <c r="L25" s="50">
        <v>0</v>
      </c>
    </row>
    <row r="26">
      <c r="B26" s="45" t="s">
        <v>215</v>
      </c>
      <c r="C26" s="37" t="s">
        <v>216</v>
      </c>
      <c r="D26" s="38">
        <f>=SUM(F26:L26)</f>
      </c>
      <c r="E26" s="39">
        <f>=(D26/D111)</f>
      </c>
      <c r="F26" s="40">
        <v>1055.15</v>
      </c>
      <c r="G26" s="40">
        <v>1012.3</v>
      </c>
      <c r="H26" s="40">
        <v>1052.18</v>
      </c>
      <c r="I26" s="40">
        <v>900.5</v>
      </c>
      <c r="J26" s="40">
        <v>2277.83</v>
      </c>
      <c r="K26" s="40">
        <v>1731.29</v>
      </c>
      <c r="L26" s="50">
        <v>0</v>
      </c>
    </row>
    <row r="27">
      <c r="B27" s="45" t="s">
        <v>217</v>
      </c>
      <c r="C27" s="37" t="s">
        <v>218</v>
      </c>
      <c r="D27" s="38">
        <f>=SUM(F27:L27)</f>
      </c>
      <c r="E27" s="39">
        <f>=(D27/D111)</f>
      </c>
      <c r="F27" s="40">
        <v>16.24</v>
      </c>
      <c r="G27" s="40">
        <v>11.45</v>
      </c>
      <c r="H27" s="40">
        <v>1.53</v>
      </c>
      <c r="I27" s="40">
        <v>0</v>
      </c>
      <c r="J27" s="40">
        <v>0</v>
      </c>
      <c r="K27" s="40">
        <v>0</v>
      </c>
      <c r="L27" s="50">
        <v>0</v>
      </c>
    </row>
    <row r="28">
      <c r="B28" s="45" t="s">
        <v>219</v>
      </c>
      <c r="C28" s="37" t="s">
        <v>220</v>
      </c>
      <c r="D28" s="38">
        <f>=SUM(F28:L28)</f>
      </c>
      <c r="E28" s="39">
        <f>=(D28/D111)</f>
      </c>
      <c r="F28" s="40">
        <v>893.98</v>
      </c>
      <c r="G28" s="40">
        <v>886.95</v>
      </c>
      <c r="H28" s="40">
        <v>851.57</v>
      </c>
      <c r="I28" s="40">
        <v>508.77</v>
      </c>
      <c r="J28" s="40">
        <v>1591.21</v>
      </c>
      <c r="K28" s="40">
        <v>1579.78</v>
      </c>
      <c r="L28" s="50">
        <v>0</v>
      </c>
    </row>
    <row r="29">
      <c r="B29" s="45" t="s">
        <v>221</v>
      </c>
      <c r="C29" s="37" t="s">
        <v>222</v>
      </c>
      <c r="D29" s="38">
        <f>=SUM(F29:L29)</f>
      </c>
      <c r="E29" s="39">
        <f>=(D29/D111)</f>
      </c>
      <c r="F29" s="40">
        <v>75</v>
      </c>
      <c r="G29" s="40">
        <v>164</v>
      </c>
      <c r="H29" s="40">
        <v>560.9</v>
      </c>
      <c r="I29" s="40">
        <v>164.2</v>
      </c>
      <c r="J29" s="40">
        <v>205</v>
      </c>
      <c r="K29" s="40">
        <v>196</v>
      </c>
      <c r="L29" s="50">
        <v>0</v>
      </c>
    </row>
    <row r="30">
      <c r="B30" s="45" t="s">
        <v>223</v>
      </c>
      <c r="C30" s="37" t="s">
        <v>224</v>
      </c>
      <c r="D30" s="38">
        <f>=SUM(F30:L30)</f>
      </c>
      <c r="E30" s="39">
        <f>=(D30/D111)</f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50">
        <v>0</v>
      </c>
    </row>
    <row r="31">
      <c r="B31" s="45" t="s">
        <v>225</v>
      </c>
      <c r="C31" s="37" t="s">
        <v>226</v>
      </c>
      <c r="D31" s="38">
        <f>=SUM(F31:L31)</f>
      </c>
      <c r="E31" s="39">
        <f>=(D31/D111)</f>
      </c>
      <c r="F31" s="40">
        <v>673.48</v>
      </c>
      <c r="G31" s="40">
        <v>530.65</v>
      </c>
      <c r="H31" s="40">
        <v>570.1</v>
      </c>
      <c r="I31" s="40">
        <v>527.5</v>
      </c>
      <c r="J31" s="40">
        <v>601.95</v>
      </c>
      <c r="K31" s="40">
        <v>555.6</v>
      </c>
      <c r="L31" s="50">
        <v>0</v>
      </c>
    </row>
    <row r="32">
      <c r="B32" s="45" t="s">
        <v>227</v>
      </c>
      <c r="C32" s="37" t="s">
        <v>228</v>
      </c>
      <c r="D32" s="38">
        <f>=SUM(F32:L32)</f>
      </c>
      <c r="E32" s="39">
        <f>=(D32/D111)</f>
      </c>
      <c r="F32" s="40">
        <v>987.76</v>
      </c>
      <c r="G32" s="40">
        <v>869.17</v>
      </c>
      <c r="H32" s="40">
        <v>887.05</v>
      </c>
      <c r="I32" s="40">
        <v>991.58</v>
      </c>
      <c r="J32" s="40">
        <v>981.89</v>
      </c>
      <c r="K32" s="40">
        <v>595.14</v>
      </c>
      <c r="L32" s="50">
        <v>0</v>
      </c>
    </row>
    <row r="33">
      <c r="B33" s="45" t="s">
        <v>229</v>
      </c>
      <c r="C33" s="37" t="s">
        <v>230</v>
      </c>
      <c r="D33" s="38">
        <f>=SUM(F33:L33)</f>
      </c>
      <c r="E33" s="39">
        <f>=(D33/D111)</f>
      </c>
      <c r="F33" s="40">
        <v>294.7</v>
      </c>
      <c r="G33" s="40">
        <v>142.58</v>
      </c>
      <c r="H33" s="40">
        <v>75.72</v>
      </c>
      <c r="I33" s="40">
        <v>120.1</v>
      </c>
      <c r="J33" s="40">
        <v>219.22</v>
      </c>
      <c r="K33" s="40">
        <v>213.63</v>
      </c>
      <c r="L33" s="50">
        <v>0</v>
      </c>
    </row>
    <row r="34">
      <c r="B34" s="45" t="s">
        <v>231</v>
      </c>
      <c r="C34" s="37" t="s">
        <v>232</v>
      </c>
      <c r="D34" s="38">
        <f>=SUM(F34:L34)</f>
      </c>
      <c r="E34" s="39">
        <f>=(D34/D111)</f>
      </c>
      <c r="F34" s="40">
        <v>355.61</v>
      </c>
      <c r="G34" s="40">
        <v>153.86</v>
      </c>
      <c r="H34" s="40">
        <v>143.67</v>
      </c>
      <c r="I34" s="40">
        <v>126.6</v>
      </c>
      <c r="J34" s="40">
        <v>165.01</v>
      </c>
      <c r="K34" s="40">
        <v>198.38</v>
      </c>
      <c r="L34" s="50">
        <v>0</v>
      </c>
    </row>
    <row r="35">
      <c r="B35" s="45" t="s">
        <v>233</v>
      </c>
      <c r="C35" s="37" t="s">
        <v>234</v>
      </c>
      <c r="D35" s="38">
        <f>=SUM(F35:L35)</f>
      </c>
      <c r="E35" s="39">
        <f>=(D35/D111)</f>
      </c>
      <c r="F35" s="40">
        <v>1502.71</v>
      </c>
      <c r="G35" s="40">
        <v>948.47</v>
      </c>
      <c r="H35" s="40">
        <v>1414.49</v>
      </c>
      <c r="I35" s="40">
        <v>1488.75</v>
      </c>
      <c r="J35" s="40">
        <v>1571.88</v>
      </c>
      <c r="K35" s="40">
        <v>1638.05</v>
      </c>
      <c r="L35" s="50">
        <v>0</v>
      </c>
    </row>
    <row r="36">
      <c r="B36" s="45" t="s">
        <v>235</v>
      </c>
      <c r="C36" s="37" t="s">
        <v>236</v>
      </c>
      <c r="D36" s="38">
        <f>=SUM(F36:L36)</f>
      </c>
      <c r="E36" s="39">
        <f>=(D36/D111)</f>
      </c>
      <c r="F36" s="40">
        <v>41</v>
      </c>
      <c r="G36" s="40">
        <v>61</v>
      </c>
      <c r="H36" s="40">
        <v>52</v>
      </c>
      <c r="I36" s="40">
        <v>62</v>
      </c>
      <c r="J36" s="40">
        <v>76</v>
      </c>
      <c r="K36" s="40">
        <v>0</v>
      </c>
      <c r="L36" s="50">
        <v>0</v>
      </c>
    </row>
    <row r="37">
      <c r="B37" s="45" t="s">
        <v>237</v>
      </c>
      <c r="C37" s="37" t="s">
        <v>238</v>
      </c>
      <c r="D37" s="38">
        <f>=SUM(F37:L37)</f>
      </c>
      <c r="E37" s="39">
        <f>=(D37/D111)</f>
      </c>
      <c r="F37" s="40">
        <v>14.95</v>
      </c>
      <c r="G37" s="40">
        <v>23.3</v>
      </c>
      <c r="H37" s="40">
        <v>0</v>
      </c>
      <c r="I37" s="40">
        <v>13</v>
      </c>
      <c r="J37" s="40">
        <v>7</v>
      </c>
      <c r="K37" s="40">
        <v>11.7</v>
      </c>
      <c r="L37" s="50">
        <v>0</v>
      </c>
    </row>
    <row r="38">
      <c r="B38" s="45" t="s">
        <v>239</v>
      </c>
      <c r="C38" s="37" t="s">
        <v>240</v>
      </c>
      <c r="D38" s="38">
        <f>=SUM(F38:L38)</f>
      </c>
      <c r="E38" s="39">
        <f>=(D38/D111)</f>
      </c>
      <c r="F38" s="40">
        <v>1096.74</v>
      </c>
      <c r="G38" s="40">
        <v>951.44</v>
      </c>
      <c r="H38" s="40">
        <v>1221.05</v>
      </c>
      <c r="I38" s="40">
        <v>1016.49</v>
      </c>
      <c r="J38" s="40">
        <v>1136.75</v>
      </c>
      <c r="K38" s="40">
        <v>1158.19</v>
      </c>
      <c r="L38" s="50">
        <v>0</v>
      </c>
    </row>
    <row r="39">
      <c r="B39" s="45" t="s">
        <v>241</v>
      </c>
      <c r="C39" s="37" t="s">
        <v>242</v>
      </c>
      <c r="D39" s="38">
        <f>=SUM(F39:L39)</f>
      </c>
      <c r="E39" s="39">
        <f>=(D39/D111)</f>
      </c>
      <c r="F39" s="40">
        <v>55.99</v>
      </c>
      <c r="G39" s="40">
        <v>39.29</v>
      </c>
      <c r="H39" s="40">
        <v>98.59</v>
      </c>
      <c r="I39" s="40">
        <v>88.72</v>
      </c>
      <c r="J39" s="40">
        <v>250.89</v>
      </c>
      <c r="K39" s="40">
        <v>334</v>
      </c>
      <c r="L39" s="50">
        <v>0</v>
      </c>
    </row>
    <row r="40">
      <c r="B40" s="45" t="s">
        <v>243</v>
      </c>
      <c r="C40" s="37" t="s">
        <v>244</v>
      </c>
      <c r="D40" s="38">
        <f>=SUM(F40:L40)</f>
      </c>
      <c r="E40" s="39">
        <f>=(D40/D111)</f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50">
        <v>0</v>
      </c>
    </row>
    <row r="41">
      <c r="B41" s="45" t="s">
        <v>245</v>
      </c>
      <c r="C41" s="37" t="s">
        <v>246</v>
      </c>
      <c r="D41" s="38">
        <f>=SUM(F41:L41)</f>
      </c>
      <c r="E41" s="39">
        <f>=(D41/D111)</f>
      </c>
      <c r="F41" s="40">
        <v>22.29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50">
        <v>0</v>
      </c>
    </row>
    <row r="42">
      <c r="B42" s="45" t="s">
        <v>247</v>
      </c>
      <c r="C42" s="37" t="s">
        <v>248</v>
      </c>
      <c r="D42" s="38">
        <f>=SUM(F42:L42)</f>
      </c>
      <c r="E42" s="39">
        <f>=(D42/D111)</f>
      </c>
      <c r="F42" s="40">
        <v>8224.87</v>
      </c>
      <c r="G42" s="40">
        <v>9843.24</v>
      </c>
      <c r="H42" s="40">
        <v>11054.43</v>
      </c>
      <c r="I42" s="40">
        <v>10400.12</v>
      </c>
      <c r="J42" s="40">
        <v>10224.99</v>
      </c>
      <c r="K42" s="40">
        <v>8651.79</v>
      </c>
      <c r="L42" s="50">
        <v>0</v>
      </c>
    </row>
    <row r="43">
      <c r="B43" s="45" t="s">
        <v>249</v>
      </c>
      <c r="C43" s="37" t="s">
        <v>250</v>
      </c>
      <c r="D43" s="38">
        <f>=SUM(F43:L43)</f>
      </c>
      <c r="E43" s="39">
        <f>=(D43/D111)</f>
      </c>
      <c r="F43" s="40">
        <v>9045.94</v>
      </c>
      <c r="G43" s="40">
        <v>8226.41</v>
      </c>
      <c r="H43" s="40">
        <v>9451.55</v>
      </c>
      <c r="I43" s="40">
        <v>8551.76</v>
      </c>
      <c r="J43" s="40">
        <v>9612.29</v>
      </c>
      <c r="K43" s="40">
        <v>9375.38</v>
      </c>
      <c r="L43" s="50">
        <v>0</v>
      </c>
    </row>
    <row r="44">
      <c r="B44" s="45" t="s">
        <v>251</v>
      </c>
      <c r="C44" s="37" t="s">
        <v>252</v>
      </c>
      <c r="D44" s="38">
        <f>=SUM(F44:L44)</f>
      </c>
      <c r="E44" s="39">
        <f>=(D44/D111)</f>
      </c>
      <c r="F44" s="40">
        <v>9055.08</v>
      </c>
      <c r="G44" s="40">
        <v>8617.26</v>
      </c>
      <c r="H44" s="40">
        <v>9119.56</v>
      </c>
      <c r="I44" s="40">
        <v>8467.36</v>
      </c>
      <c r="J44" s="40">
        <v>9090.27</v>
      </c>
      <c r="K44" s="40">
        <v>8977.98</v>
      </c>
      <c r="L44" s="50">
        <v>0</v>
      </c>
    </row>
    <row r="45">
      <c r="B45" s="45" t="s">
        <v>253</v>
      </c>
      <c r="C45" s="37" t="s">
        <v>254</v>
      </c>
      <c r="D45" s="38">
        <f>=SUM(F45:L45)</f>
      </c>
      <c r="E45" s="39">
        <f>=(D45/D111)</f>
      </c>
      <c r="F45" s="40">
        <v>1183.74</v>
      </c>
      <c r="G45" s="40">
        <v>1308.76</v>
      </c>
      <c r="H45" s="40">
        <v>1511.95</v>
      </c>
      <c r="I45" s="40">
        <v>1442.47</v>
      </c>
      <c r="J45" s="40">
        <v>1813.27</v>
      </c>
      <c r="K45" s="40">
        <v>1682.82</v>
      </c>
      <c r="L45" s="50">
        <v>0</v>
      </c>
    </row>
    <row r="46">
      <c r="B46" s="45" t="s">
        <v>255</v>
      </c>
      <c r="C46" s="37" t="s">
        <v>256</v>
      </c>
      <c r="D46" s="38">
        <f>=SUM(F46:L46)</f>
      </c>
      <c r="E46" s="39">
        <f>=(D46/D111)</f>
      </c>
      <c r="F46" s="40">
        <v>1537.4</v>
      </c>
      <c r="G46" s="40">
        <v>1646.23</v>
      </c>
      <c r="H46" s="40">
        <v>1737.03</v>
      </c>
      <c r="I46" s="40">
        <v>1718.98</v>
      </c>
      <c r="J46" s="40">
        <v>1971.26</v>
      </c>
      <c r="K46" s="40">
        <v>1887.81</v>
      </c>
      <c r="L46" s="50">
        <v>0</v>
      </c>
    </row>
    <row r="47">
      <c r="B47" s="45" t="s">
        <v>257</v>
      </c>
      <c r="C47" s="37" t="s">
        <v>258</v>
      </c>
      <c r="D47" s="38">
        <f>=SUM(F47:L47)</f>
      </c>
      <c r="E47" s="39">
        <f>=(D47/D111)</f>
      </c>
      <c r="F47" s="40">
        <v>0</v>
      </c>
      <c r="G47" s="40">
        <v>0</v>
      </c>
      <c r="H47" s="40">
        <v>7</v>
      </c>
      <c r="I47" s="40">
        <v>0</v>
      </c>
      <c r="J47" s="40">
        <v>0</v>
      </c>
      <c r="K47" s="40">
        <v>0</v>
      </c>
      <c r="L47" s="50">
        <v>0</v>
      </c>
    </row>
    <row r="48">
      <c r="B48" s="45" t="s">
        <v>259</v>
      </c>
      <c r="C48" s="37" t="s">
        <v>260</v>
      </c>
      <c r="D48" s="38">
        <f>=SUM(F48:L48)</f>
      </c>
      <c r="E48" s="39">
        <f>=(D48/D111)</f>
      </c>
      <c r="F48" s="40">
        <v>976.03</v>
      </c>
      <c r="G48" s="40">
        <v>847.18</v>
      </c>
      <c r="H48" s="40">
        <v>916.61</v>
      </c>
      <c r="I48" s="40">
        <v>596.26</v>
      </c>
      <c r="J48" s="40">
        <v>711.73</v>
      </c>
      <c r="K48" s="40">
        <v>482.3</v>
      </c>
      <c r="L48" s="50">
        <v>0</v>
      </c>
    </row>
    <row r="49">
      <c r="B49" s="45" t="s">
        <v>261</v>
      </c>
      <c r="C49" s="37" t="s">
        <v>262</v>
      </c>
      <c r="D49" s="38">
        <f>=SUM(F49:L49)</f>
      </c>
      <c r="E49" s="39">
        <f>=(D49/D111)</f>
      </c>
      <c r="F49" s="40">
        <v>1009.41</v>
      </c>
      <c r="G49" s="40">
        <v>934.65</v>
      </c>
      <c r="H49" s="40">
        <v>1098.93</v>
      </c>
      <c r="I49" s="40">
        <v>1008.66</v>
      </c>
      <c r="J49" s="40">
        <v>1097.6</v>
      </c>
      <c r="K49" s="40">
        <v>1009.38</v>
      </c>
      <c r="L49" s="50">
        <v>0</v>
      </c>
    </row>
    <row r="50">
      <c r="B50" s="45" t="s">
        <v>263</v>
      </c>
      <c r="C50" s="37" t="s">
        <v>264</v>
      </c>
      <c r="D50" s="38">
        <f>=SUM(F50:L50)</f>
      </c>
      <c r="E50" s="39">
        <f>=(D50/D111)</f>
      </c>
      <c r="F50" s="40">
        <v>170930.7</v>
      </c>
      <c r="G50" s="40">
        <v>157223.72</v>
      </c>
      <c r="H50" s="40">
        <v>175194.09</v>
      </c>
      <c r="I50" s="40">
        <v>155549.36</v>
      </c>
      <c r="J50" s="40">
        <v>156547.14</v>
      </c>
      <c r="K50" s="40">
        <v>152126.95</v>
      </c>
      <c r="L50" s="50">
        <v>0</v>
      </c>
    </row>
    <row r="51">
      <c r="B51" s="45" t="s">
        <v>265</v>
      </c>
      <c r="C51" s="37" t="s">
        <v>266</v>
      </c>
      <c r="D51" s="38">
        <f>=SUM(F51:L51)</f>
      </c>
      <c r="E51" s="39">
        <f>=(D51/D111)</f>
      </c>
      <c r="F51" s="40">
        <v>3083.85</v>
      </c>
      <c r="G51" s="40">
        <v>2728.53</v>
      </c>
      <c r="H51" s="40">
        <v>3393.19</v>
      </c>
      <c r="I51" s="40">
        <v>3113.9</v>
      </c>
      <c r="J51" s="40">
        <v>3373.1</v>
      </c>
      <c r="K51" s="40">
        <v>3191.17</v>
      </c>
      <c r="L51" s="50">
        <v>0</v>
      </c>
    </row>
    <row r="52">
      <c r="B52" s="45" t="s">
        <v>267</v>
      </c>
      <c r="C52" s="37" t="s">
        <v>268</v>
      </c>
      <c r="D52" s="38">
        <f>=SUM(F52:L52)</f>
      </c>
      <c r="E52" s="39">
        <f>=(D52/D111)</f>
      </c>
      <c r="F52" s="40">
        <v>103151.74</v>
      </c>
      <c r="G52" s="40">
        <v>92456.45</v>
      </c>
      <c r="H52" s="40">
        <v>110873.69</v>
      </c>
      <c r="I52" s="40">
        <v>107108.3</v>
      </c>
      <c r="J52" s="40">
        <v>128282.1</v>
      </c>
      <c r="K52" s="40">
        <v>125870.18</v>
      </c>
      <c r="L52" s="50">
        <v>0</v>
      </c>
    </row>
    <row r="53">
      <c r="B53" s="45" t="s">
        <v>269</v>
      </c>
      <c r="C53" s="37" t="s">
        <v>270</v>
      </c>
      <c r="D53" s="38">
        <f>=SUM(F53:L53)</f>
      </c>
      <c r="E53" s="39">
        <f>=(D53/D111)</f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50">
        <v>0</v>
      </c>
    </row>
    <row r="54">
      <c r="B54" s="45" t="s">
        <v>271</v>
      </c>
      <c r="C54" s="37" t="s">
        <v>272</v>
      </c>
      <c r="D54" s="38">
        <f>=SUM(F54:L54)</f>
      </c>
      <c r="E54" s="39">
        <f>=(D54/D111)</f>
      </c>
      <c r="F54" s="40">
        <v>470.16</v>
      </c>
      <c r="G54" s="40">
        <v>629.1</v>
      </c>
      <c r="H54" s="40">
        <v>597.18</v>
      </c>
      <c r="I54" s="40">
        <v>544.92</v>
      </c>
      <c r="J54" s="40">
        <v>670.31</v>
      </c>
      <c r="K54" s="40">
        <v>800.7</v>
      </c>
      <c r="L54" s="50">
        <v>0</v>
      </c>
    </row>
    <row r="55">
      <c r="B55" s="45" t="s">
        <v>273</v>
      </c>
      <c r="C55" s="37" t="s">
        <v>274</v>
      </c>
      <c r="D55" s="38">
        <f>=SUM(F55:L55)</f>
      </c>
      <c r="E55" s="39">
        <f>=(D55/D111)</f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50">
        <v>0</v>
      </c>
    </row>
    <row r="56">
      <c r="B56" s="45" t="s">
        <v>275</v>
      </c>
      <c r="C56" s="37" t="s">
        <v>276</v>
      </c>
      <c r="D56" s="38">
        <f>=SUM(F56:L56)</f>
      </c>
      <c r="E56" s="39">
        <f>=(D56/D111)</f>
      </c>
      <c r="F56" s="40">
        <v>5562.15</v>
      </c>
      <c r="G56" s="40">
        <v>4956.77</v>
      </c>
      <c r="H56" s="40">
        <v>5816.67</v>
      </c>
      <c r="I56" s="40">
        <v>5694.4</v>
      </c>
      <c r="J56" s="40">
        <v>5925.61</v>
      </c>
      <c r="K56" s="40">
        <v>4339.78</v>
      </c>
      <c r="L56" s="50">
        <v>0</v>
      </c>
    </row>
    <row r="57">
      <c r="B57" s="45" t="s">
        <v>277</v>
      </c>
      <c r="C57" s="37" t="s">
        <v>278</v>
      </c>
      <c r="D57" s="38">
        <f>=SUM(F57:L57)</f>
      </c>
      <c r="E57" s="39">
        <f>=(D57/D111)</f>
      </c>
      <c r="F57" s="40">
        <v>1021.46</v>
      </c>
      <c r="G57" s="40">
        <v>1197.16</v>
      </c>
      <c r="H57" s="40">
        <v>1537.25</v>
      </c>
      <c r="I57" s="40">
        <v>1531.77</v>
      </c>
      <c r="J57" s="40">
        <v>1472.55</v>
      </c>
      <c r="K57" s="40">
        <v>1338.58</v>
      </c>
      <c r="L57" s="50">
        <v>0</v>
      </c>
    </row>
    <row r="58">
      <c r="B58" s="45" t="s">
        <v>279</v>
      </c>
      <c r="C58" s="37" t="s">
        <v>280</v>
      </c>
      <c r="D58" s="38">
        <f>=SUM(F58:L58)</f>
      </c>
      <c r="E58" s="39">
        <f>=(D58/D111)</f>
      </c>
      <c r="F58" s="40">
        <v>1399.06</v>
      </c>
      <c r="G58" s="40">
        <v>1576.18</v>
      </c>
      <c r="H58" s="40">
        <v>1714.15</v>
      </c>
      <c r="I58" s="40">
        <v>1549.68</v>
      </c>
      <c r="J58" s="40">
        <v>1570.95</v>
      </c>
      <c r="K58" s="40">
        <v>1422.94</v>
      </c>
      <c r="L58" s="50">
        <v>0</v>
      </c>
    </row>
    <row r="59">
      <c r="B59" s="45" t="s">
        <v>281</v>
      </c>
      <c r="C59" s="37" t="s">
        <v>282</v>
      </c>
      <c r="D59" s="38">
        <f>=SUM(F59:L59)</f>
      </c>
      <c r="E59" s="39">
        <f>=(D59/D111)</f>
      </c>
      <c r="F59" s="40">
        <v>732.65</v>
      </c>
      <c r="G59" s="40">
        <v>635.5</v>
      </c>
      <c r="H59" s="40">
        <v>653.78</v>
      </c>
      <c r="I59" s="40">
        <v>578.77</v>
      </c>
      <c r="J59" s="40">
        <v>720.38</v>
      </c>
      <c r="K59" s="40">
        <v>567.14</v>
      </c>
      <c r="L59" s="50">
        <v>0</v>
      </c>
    </row>
    <row r="60">
      <c r="B60" s="45" t="s">
        <v>283</v>
      </c>
      <c r="C60" s="37" t="s">
        <v>284</v>
      </c>
      <c r="D60" s="38">
        <f>=SUM(F60:L60)</f>
      </c>
      <c r="E60" s="39">
        <f>=(D60/D111)</f>
      </c>
      <c r="F60" s="40">
        <v>103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50">
        <v>0</v>
      </c>
    </row>
    <row r="61">
      <c r="B61" s="45" t="s">
        <v>285</v>
      </c>
      <c r="C61" s="37" t="s">
        <v>286</v>
      </c>
      <c r="D61" s="38">
        <f>=SUM(F61:L61)</f>
      </c>
      <c r="E61" s="39">
        <f>=(D61/D111)</f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50">
        <v>0</v>
      </c>
    </row>
    <row r="62">
      <c r="B62" s="45" t="s">
        <v>287</v>
      </c>
      <c r="C62" s="37" t="s">
        <v>288</v>
      </c>
      <c r="D62" s="38">
        <f>=SUM(F62:L62)</f>
      </c>
      <c r="E62" s="39">
        <f>=(D62/D111)</f>
      </c>
      <c r="F62" s="40">
        <v>14.79</v>
      </c>
      <c r="G62" s="40">
        <v>10</v>
      </c>
      <c r="H62" s="40">
        <v>13.2</v>
      </c>
      <c r="I62" s="40">
        <v>1.2</v>
      </c>
      <c r="J62" s="40">
        <v>13</v>
      </c>
      <c r="K62" s="40">
        <v>16.1</v>
      </c>
      <c r="L62" s="50">
        <v>0</v>
      </c>
    </row>
    <row r="63">
      <c r="B63" s="45" t="s">
        <v>289</v>
      </c>
      <c r="C63" s="37" t="s">
        <v>290</v>
      </c>
      <c r="D63" s="38">
        <f>=SUM(F63:L63)</f>
      </c>
      <c r="E63" s="39">
        <f>=(D63/D111)</f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50">
        <v>0</v>
      </c>
    </row>
    <row r="64">
      <c r="B64" s="45" t="s">
        <v>291</v>
      </c>
      <c r="C64" s="37" t="s">
        <v>292</v>
      </c>
      <c r="D64" s="38">
        <f>=SUM(F64:L64)</f>
      </c>
      <c r="E64" s="39">
        <f>=(D64/D111)</f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50">
        <v>0</v>
      </c>
    </row>
    <row r="65">
      <c r="B65" s="45" t="s">
        <v>293</v>
      </c>
      <c r="C65" s="37" t="s">
        <v>294</v>
      </c>
      <c r="D65" s="38">
        <f>=SUM(F65:L65)</f>
      </c>
      <c r="E65" s="39">
        <f>=(D65/D111)</f>
      </c>
      <c r="F65" s="40">
        <v>65.48</v>
      </c>
      <c r="G65" s="40">
        <v>52.6</v>
      </c>
      <c r="H65" s="40">
        <v>64</v>
      </c>
      <c r="I65" s="40">
        <v>14</v>
      </c>
      <c r="J65" s="40">
        <v>15.5</v>
      </c>
      <c r="K65" s="40">
        <v>23.8</v>
      </c>
      <c r="L65" s="50">
        <v>0</v>
      </c>
    </row>
    <row r="66">
      <c r="B66" s="45" t="s">
        <v>295</v>
      </c>
      <c r="C66" s="37" t="s">
        <v>296</v>
      </c>
      <c r="D66" s="38">
        <f>=SUM(F66:L66)</f>
      </c>
      <c r="E66" s="39">
        <f>=(D66/D111)</f>
      </c>
      <c r="F66" s="40">
        <v>0</v>
      </c>
      <c r="G66" s="40">
        <v>2.66</v>
      </c>
      <c r="H66" s="40">
        <v>0</v>
      </c>
      <c r="I66" s="40">
        <v>5.79</v>
      </c>
      <c r="J66" s="40">
        <v>0.97</v>
      </c>
      <c r="K66" s="40">
        <v>0</v>
      </c>
      <c r="L66" s="50">
        <v>0</v>
      </c>
    </row>
    <row r="67">
      <c r="B67" s="45" t="s">
        <v>297</v>
      </c>
      <c r="C67" s="37" t="s">
        <v>298</v>
      </c>
      <c r="D67" s="38">
        <f>=SUM(F67:L67)</f>
      </c>
      <c r="E67" s="39">
        <f>=(D67/D111)</f>
      </c>
      <c r="F67" s="40">
        <v>1121.05</v>
      </c>
      <c r="G67" s="40">
        <v>1020.94</v>
      </c>
      <c r="H67" s="40">
        <v>1195.47</v>
      </c>
      <c r="I67" s="40">
        <v>1118.06</v>
      </c>
      <c r="J67" s="40">
        <v>1176.23</v>
      </c>
      <c r="K67" s="40">
        <v>1215.67</v>
      </c>
      <c r="L67" s="50">
        <v>0</v>
      </c>
    </row>
    <row r="68">
      <c r="B68" s="45" t="s">
        <v>299</v>
      </c>
      <c r="C68" s="37" t="s">
        <v>300</v>
      </c>
      <c r="D68" s="38">
        <f>=SUM(F68:L68)</f>
      </c>
      <c r="E68" s="39">
        <f>=(D68/D111)</f>
      </c>
      <c r="F68" s="40">
        <v>881.5</v>
      </c>
      <c r="G68" s="40">
        <v>818.92</v>
      </c>
      <c r="H68" s="40">
        <v>940.7</v>
      </c>
      <c r="I68" s="40">
        <v>832.2</v>
      </c>
      <c r="J68" s="40">
        <v>897.53</v>
      </c>
      <c r="K68" s="40">
        <v>925.14</v>
      </c>
      <c r="L68" s="50">
        <v>0</v>
      </c>
    </row>
    <row r="69">
      <c r="B69" s="45" t="s">
        <v>301</v>
      </c>
      <c r="C69" s="37" t="s">
        <v>302</v>
      </c>
      <c r="D69" s="38">
        <f>=SUM(F69:L69)</f>
      </c>
      <c r="E69" s="39">
        <f>=(D69/D111)</f>
      </c>
      <c r="F69" s="40">
        <v>162.74</v>
      </c>
      <c r="G69" s="40">
        <v>558.8</v>
      </c>
      <c r="H69" s="40">
        <v>747.02</v>
      </c>
      <c r="I69" s="40">
        <v>234.27</v>
      </c>
      <c r="J69" s="40">
        <v>546.94</v>
      </c>
      <c r="K69" s="40">
        <v>171.93</v>
      </c>
      <c r="L69" s="50">
        <v>0</v>
      </c>
    </row>
    <row r="70">
      <c r="B70" s="45" t="s">
        <v>303</v>
      </c>
      <c r="C70" s="37" t="s">
        <v>304</v>
      </c>
      <c r="D70" s="38">
        <f>=SUM(F70:L70)</f>
      </c>
      <c r="E70" s="39">
        <f>=(D70/D111)</f>
      </c>
      <c r="F70" s="40">
        <v>20914.48</v>
      </c>
      <c r="G70" s="40">
        <v>23522.24</v>
      </c>
      <c r="H70" s="40">
        <v>28101.66</v>
      </c>
      <c r="I70" s="40">
        <v>18598.86</v>
      </c>
      <c r="J70" s="40">
        <v>26343.89</v>
      </c>
      <c r="K70" s="40">
        <v>31800.27</v>
      </c>
      <c r="L70" s="50">
        <v>0</v>
      </c>
    </row>
    <row r="71">
      <c r="B71" s="45" t="s">
        <v>305</v>
      </c>
      <c r="C71" s="37" t="s">
        <v>306</v>
      </c>
      <c r="D71" s="38">
        <f>=SUM(F71:L71)</f>
      </c>
      <c r="E71" s="39">
        <f>=(D71/D111)</f>
      </c>
      <c r="F71" s="40">
        <v>141.76</v>
      </c>
      <c r="G71" s="40">
        <v>12.53</v>
      </c>
      <c r="H71" s="40">
        <v>15.02</v>
      </c>
      <c r="I71" s="40">
        <v>0.01</v>
      </c>
      <c r="J71" s="40">
        <v>33.06</v>
      </c>
      <c r="K71" s="40">
        <v>100.1</v>
      </c>
      <c r="L71" s="50">
        <v>0</v>
      </c>
    </row>
    <row r="72">
      <c r="B72" s="45" t="s">
        <v>307</v>
      </c>
      <c r="C72" s="37" t="s">
        <v>308</v>
      </c>
      <c r="D72" s="38">
        <f>=SUM(F72:L72)</f>
      </c>
      <c r="E72" s="39">
        <f>=(D72/D111)</f>
      </c>
      <c r="F72" s="40">
        <v>4152.23</v>
      </c>
      <c r="G72" s="40">
        <v>3775.03</v>
      </c>
      <c r="H72" s="40">
        <v>3599.89</v>
      </c>
      <c r="I72" s="40">
        <v>2682.89</v>
      </c>
      <c r="J72" s="40">
        <v>3237.78</v>
      </c>
      <c r="K72" s="40">
        <v>3063.35</v>
      </c>
      <c r="L72" s="50">
        <v>0</v>
      </c>
    </row>
    <row r="73">
      <c r="B73" s="45" t="s">
        <v>309</v>
      </c>
      <c r="C73" s="37" t="s">
        <v>310</v>
      </c>
      <c r="D73" s="38">
        <f>=SUM(F73:L73)</f>
      </c>
      <c r="E73" s="39">
        <f>=(D73/D111)</f>
      </c>
      <c r="F73" s="40">
        <v>126.22</v>
      </c>
      <c r="G73" s="40">
        <v>171.42</v>
      </c>
      <c r="H73" s="40">
        <v>223.86</v>
      </c>
      <c r="I73" s="40">
        <v>388.18</v>
      </c>
      <c r="J73" s="40">
        <v>409.9</v>
      </c>
      <c r="K73" s="40">
        <v>411.9</v>
      </c>
      <c r="L73" s="50">
        <v>0</v>
      </c>
    </row>
    <row r="74">
      <c r="B74" s="45" t="s">
        <v>311</v>
      </c>
      <c r="C74" s="37" t="s">
        <v>312</v>
      </c>
      <c r="D74" s="38">
        <f>=SUM(F74:L74)</f>
      </c>
      <c r="E74" s="39">
        <f>=(D74/D111)</f>
      </c>
      <c r="F74" s="40">
        <v>6932.85</v>
      </c>
      <c r="G74" s="40">
        <v>3898.55</v>
      </c>
      <c r="H74" s="40">
        <v>6705.06</v>
      </c>
      <c r="I74" s="40">
        <v>4853.39</v>
      </c>
      <c r="J74" s="40">
        <v>6618.4</v>
      </c>
      <c r="K74" s="40">
        <v>7394.83</v>
      </c>
      <c r="L74" s="50">
        <v>0</v>
      </c>
    </row>
    <row r="75">
      <c r="B75" s="45" t="s">
        <v>313</v>
      </c>
      <c r="C75" s="37" t="s">
        <v>314</v>
      </c>
      <c r="D75" s="38">
        <f>=SUM(F75:L75)</f>
      </c>
      <c r="E75" s="39">
        <f>=(D75/D111)</f>
      </c>
      <c r="F75" s="40">
        <v>223.05</v>
      </c>
      <c r="G75" s="40">
        <v>258.32</v>
      </c>
      <c r="H75" s="40">
        <v>241.69</v>
      </c>
      <c r="I75" s="40">
        <v>206.26</v>
      </c>
      <c r="J75" s="40">
        <v>253.76</v>
      </c>
      <c r="K75" s="40">
        <v>469.41</v>
      </c>
      <c r="L75" s="50">
        <v>0</v>
      </c>
    </row>
    <row r="76">
      <c r="B76" s="45" t="s">
        <v>315</v>
      </c>
      <c r="C76" s="37" t="s">
        <v>316</v>
      </c>
      <c r="D76" s="38">
        <f>=SUM(F76:L76)</f>
      </c>
      <c r="E76" s="39">
        <f>=(D76/D111)</f>
      </c>
      <c r="F76" s="40">
        <v>84.59</v>
      </c>
      <c r="G76" s="40">
        <v>107.8</v>
      </c>
      <c r="H76" s="40">
        <v>168.83</v>
      </c>
      <c r="I76" s="40">
        <v>172.7</v>
      </c>
      <c r="J76" s="40">
        <v>102.77</v>
      </c>
      <c r="K76" s="40">
        <v>174.01</v>
      </c>
      <c r="L76" s="50">
        <v>0</v>
      </c>
    </row>
    <row r="77">
      <c r="B77" s="45" t="s">
        <v>317</v>
      </c>
      <c r="C77" s="37" t="s">
        <v>318</v>
      </c>
      <c r="D77" s="38">
        <f>=SUM(F77:L77)</f>
      </c>
      <c r="E77" s="39">
        <f>=(D77/D111)</f>
      </c>
      <c r="F77" s="40">
        <v>4041.43</v>
      </c>
      <c r="G77" s="40">
        <v>3630.51</v>
      </c>
      <c r="H77" s="40">
        <v>4612.72</v>
      </c>
      <c r="I77" s="40">
        <v>3847.67</v>
      </c>
      <c r="J77" s="40">
        <v>3878.92</v>
      </c>
      <c r="K77" s="40">
        <v>4836.04</v>
      </c>
      <c r="L77" s="50">
        <v>0</v>
      </c>
    </row>
    <row r="78">
      <c r="B78" s="45" t="s">
        <v>319</v>
      </c>
      <c r="C78" s="37" t="s">
        <v>320</v>
      </c>
      <c r="D78" s="38">
        <f>=SUM(F78:L78)</f>
      </c>
      <c r="E78" s="39">
        <f>=(D78/D111)</f>
      </c>
      <c r="F78" s="40">
        <v>12.06</v>
      </c>
      <c r="G78" s="40">
        <v>35.96</v>
      </c>
      <c r="H78" s="40">
        <v>35.1</v>
      </c>
      <c r="I78" s="40">
        <v>11.17</v>
      </c>
      <c r="J78" s="40">
        <v>22.28</v>
      </c>
      <c r="K78" s="40">
        <v>42.68</v>
      </c>
      <c r="L78" s="50">
        <v>0</v>
      </c>
    </row>
    <row r="79">
      <c r="B79" s="45" t="s">
        <v>321</v>
      </c>
      <c r="C79" s="37" t="s">
        <v>322</v>
      </c>
      <c r="D79" s="38">
        <f>=SUM(F79:L79)</f>
      </c>
      <c r="E79" s="39">
        <f>=(D79/D111)</f>
      </c>
      <c r="F79" s="40">
        <v>282.42</v>
      </c>
      <c r="G79" s="40">
        <v>198.93</v>
      </c>
      <c r="H79" s="40">
        <v>246.02</v>
      </c>
      <c r="I79" s="40">
        <v>320.06</v>
      </c>
      <c r="J79" s="40">
        <v>354.52</v>
      </c>
      <c r="K79" s="40">
        <v>84.18</v>
      </c>
      <c r="L79" s="50">
        <v>0</v>
      </c>
    </row>
    <row r="80">
      <c r="B80" s="45" t="s">
        <v>323</v>
      </c>
      <c r="C80" s="37" t="s">
        <v>324</v>
      </c>
      <c r="D80" s="38">
        <f>=SUM(F80:L80)</f>
      </c>
      <c r="E80" s="39">
        <f>=(D80/D111)</f>
      </c>
      <c r="F80" s="40">
        <v>3297.56</v>
      </c>
      <c r="G80" s="40">
        <v>3641.85</v>
      </c>
      <c r="H80" s="40">
        <v>4393.72</v>
      </c>
      <c r="I80" s="40">
        <v>4028.19</v>
      </c>
      <c r="J80" s="40">
        <v>4296.93</v>
      </c>
      <c r="K80" s="40">
        <v>3966.39</v>
      </c>
      <c r="L80" s="50">
        <v>0</v>
      </c>
    </row>
    <row r="81">
      <c r="B81" s="45" t="s">
        <v>325</v>
      </c>
      <c r="C81" s="37" t="s">
        <v>326</v>
      </c>
      <c r="D81" s="38">
        <f>=SUM(F81:L81)</f>
      </c>
      <c r="E81" s="39">
        <f>=(D81/D111)</f>
      </c>
      <c r="F81" s="40">
        <v>2041.27</v>
      </c>
      <c r="G81" s="40">
        <v>1578.16</v>
      </c>
      <c r="H81" s="40">
        <v>2137.3</v>
      </c>
      <c r="I81" s="40">
        <v>1717.88</v>
      </c>
      <c r="J81" s="40">
        <v>1953.42</v>
      </c>
      <c r="K81" s="40">
        <v>2072</v>
      </c>
      <c r="L81" s="50">
        <v>0</v>
      </c>
    </row>
    <row r="82">
      <c r="B82" s="45" t="s">
        <v>327</v>
      </c>
      <c r="C82" s="37" t="s">
        <v>328</v>
      </c>
      <c r="D82" s="38">
        <f>=SUM(F82:L82)</f>
      </c>
      <c r="E82" s="39">
        <f>=(D82/D111)</f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50">
        <v>0</v>
      </c>
    </row>
    <row r="83">
      <c r="B83" s="45" t="s">
        <v>329</v>
      </c>
      <c r="C83" s="37" t="s">
        <v>330</v>
      </c>
      <c r="D83" s="38">
        <f>=SUM(F83:L83)</f>
      </c>
      <c r="E83" s="39">
        <f>=(D83/D111)</f>
      </c>
      <c r="F83" s="40">
        <v>401.01</v>
      </c>
      <c r="G83" s="40">
        <v>260.64</v>
      </c>
      <c r="H83" s="40">
        <v>312.29</v>
      </c>
      <c r="I83" s="40">
        <v>283.91</v>
      </c>
      <c r="J83" s="40">
        <v>232.02</v>
      </c>
      <c r="K83" s="40">
        <v>180.12</v>
      </c>
      <c r="L83" s="50">
        <v>0</v>
      </c>
    </row>
    <row r="84">
      <c r="B84" s="45" t="s">
        <v>331</v>
      </c>
      <c r="C84" s="37" t="s">
        <v>332</v>
      </c>
      <c r="D84" s="38">
        <f>=SUM(F84:L84)</f>
      </c>
      <c r="E84" s="39">
        <f>=(D84/D111)</f>
      </c>
      <c r="F84" s="40">
        <v>4251.53</v>
      </c>
      <c r="G84" s="40">
        <v>5511.3</v>
      </c>
      <c r="H84" s="40">
        <v>6329.21</v>
      </c>
      <c r="I84" s="40">
        <v>4755.23</v>
      </c>
      <c r="J84" s="40">
        <v>6977.76</v>
      </c>
      <c r="K84" s="40">
        <v>6240.81</v>
      </c>
      <c r="L84" s="50">
        <v>0</v>
      </c>
    </row>
    <row r="85">
      <c r="B85" s="45" t="s">
        <v>333</v>
      </c>
      <c r="C85" s="37" t="s">
        <v>334</v>
      </c>
      <c r="D85" s="38">
        <f>=SUM(F85:L85)</f>
      </c>
      <c r="E85" s="39">
        <f>=(D85/D111)</f>
      </c>
      <c r="F85" s="40">
        <v>147</v>
      </c>
      <c r="G85" s="40">
        <v>138</v>
      </c>
      <c r="H85" s="40">
        <v>167</v>
      </c>
      <c r="I85" s="40">
        <v>164</v>
      </c>
      <c r="J85" s="40">
        <v>186</v>
      </c>
      <c r="K85" s="40">
        <v>177</v>
      </c>
      <c r="L85" s="50">
        <v>0</v>
      </c>
    </row>
    <row r="86">
      <c r="B86" s="45" t="s">
        <v>335</v>
      </c>
      <c r="C86" s="37" t="s">
        <v>336</v>
      </c>
      <c r="D86" s="38">
        <f>=SUM(F86:L86)</f>
      </c>
      <c r="E86" s="39">
        <f>=(D86/D111)</f>
      </c>
      <c r="F86" s="40">
        <v>512.93</v>
      </c>
      <c r="G86" s="40">
        <v>478.52</v>
      </c>
      <c r="H86" s="40">
        <v>545.21</v>
      </c>
      <c r="I86" s="40">
        <v>798.78</v>
      </c>
      <c r="J86" s="40">
        <v>554.42</v>
      </c>
      <c r="K86" s="40">
        <v>544.01</v>
      </c>
      <c r="L86" s="50">
        <v>0</v>
      </c>
    </row>
    <row r="87">
      <c r="B87" s="45" t="s">
        <v>337</v>
      </c>
      <c r="C87" s="37" t="s">
        <v>338</v>
      </c>
      <c r="D87" s="38">
        <f>=SUM(F87:L87)</f>
      </c>
      <c r="E87" s="39">
        <f>=(D87/D111)</f>
      </c>
      <c r="F87" s="40">
        <v>47.12</v>
      </c>
      <c r="G87" s="40">
        <v>30.87</v>
      </c>
      <c r="H87" s="40">
        <v>30.08</v>
      </c>
      <c r="I87" s="40">
        <v>34.6</v>
      </c>
      <c r="J87" s="40">
        <v>37.75</v>
      </c>
      <c r="K87" s="40">
        <v>29.32</v>
      </c>
      <c r="L87" s="50">
        <v>0</v>
      </c>
    </row>
    <row r="88">
      <c r="B88" s="45" t="s">
        <v>339</v>
      </c>
      <c r="C88" s="37" t="s">
        <v>340</v>
      </c>
      <c r="D88" s="38">
        <f>=SUM(F88:L88)</f>
      </c>
      <c r="E88" s="39">
        <f>=(D88/D111)</f>
      </c>
      <c r="F88" s="40">
        <v>365.13</v>
      </c>
      <c r="G88" s="40">
        <v>364.58</v>
      </c>
      <c r="H88" s="40">
        <v>364.58</v>
      </c>
      <c r="I88" s="40">
        <v>365.29</v>
      </c>
      <c r="J88" s="40">
        <v>364.58</v>
      </c>
      <c r="K88" s="40">
        <v>364.58</v>
      </c>
      <c r="L88" s="50">
        <v>0</v>
      </c>
    </row>
    <row r="89">
      <c r="B89" s="45" t="s">
        <v>341</v>
      </c>
      <c r="C89" s="37" t="s">
        <v>342</v>
      </c>
      <c r="D89" s="38">
        <f>=SUM(F89:L89)</f>
      </c>
      <c r="E89" s="39">
        <f>=(D89/D111)</f>
      </c>
      <c r="F89" s="40">
        <v>11528.27</v>
      </c>
      <c r="G89" s="40">
        <v>11255.04</v>
      </c>
      <c r="H89" s="40">
        <v>10634.82</v>
      </c>
      <c r="I89" s="40">
        <v>9469.21</v>
      </c>
      <c r="J89" s="40">
        <v>10238.12</v>
      </c>
      <c r="K89" s="40">
        <v>11613.24</v>
      </c>
      <c r="L89" s="50">
        <v>0</v>
      </c>
    </row>
    <row r="90">
      <c r="B90" s="45" t="s">
        <v>343</v>
      </c>
      <c r="C90" s="37" t="s">
        <v>344</v>
      </c>
      <c r="D90" s="38">
        <f>=SUM(F90:L90)</f>
      </c>
      <c r="E90" s="39">
        <f>=(D90/D111)</f>
      </c>
      <c r="F90" s="40">
        <v>2457.03</v>
      </c>
      <c r="G90" s="40">
        <v>3413.67</v>
      </c>
      <c r="H90" s="40">
        <v>3272.55</v>
      </c>
      <c r="I90" s="40">
        <v>2941.56</v>
      </c>
      <c r="J90" s="40">
        <v>3064.28</v>
      </c>
      <c r="K90" s="40">
        <v>2419.97</v>
      </c>
      <c r="L90" s="50">
        <v>0</v>
      </c>
    </row>
    <row r="91">
      <c r="B91" s="45" t="s">
        <v>345</v>
      </c>
      <c r="C91" s="37" t="s">
        <v>346</v>
      </c>
      <c r="D91" s="38">
        <f>=SUM(F91:L91)</f>
      </c>
      <c r="E91" s="39">
        <f>=(D91/D111)</f>
      </c>
      <c r="F91" s="40">
        <v>1454.45</v>
      </c>
      <c r="G91" s="40">
        <v>1165.83</v>
      </c>
      <c r="H91" s="40">
        <v>1273.17</v>
      </c>
      <c r="I91" s="40">
        <v>937.7</v>
      </c>
      <c r="J91" s="40">
        <v>2848.19</v>
      </c>
      <c r="K91" s="40">
        <v>2787.64</v>
      </c>
      <c r="L91" s="50">
        <v>0</v>
      </c>
    </row>
    <row r="92">
      <c r="B92" s="45" t="s">
        <v>347</v>
      </c>
      <c r="C92" s="37" t="s">
        <v>348</v>
      </c>
      <c r="D92" s="38">
        <f>=SUM(F92:L92)</f>
      </c>
      <c r="E92" s="39">
        <f>=(D92/D111)</f>
      </c>
      <c r="F92" s="40">
        <v>32576.51</v>
      </c>
      <c r="G92" s="40">
        <v>28551.42</v>
      </c>
      <c r="H92" s="40">
        <v>29342.28</v>
      </c>
      <c r="I92" s="40">
        <v>28414.53</v>
      </c>
      <c r="J92" s="40">
        <v>27904.15</v>
      </c>
      <c r="K92" s="40">
        <v>24675.41</v>
      </c>
      <c r="L92" s="50">
        <v>0</v>
      </c>
    </row>
    <row r="93">
      <c r="B93" s="45" t="s">
        <v>349</v>
      </c>
      <c r="C93" s="37" t="s">
        <v>350</v>
      </c>
      <c r="D93" s="38">
        <f>=SUM(F93:L93)</f>
      </c>
      <c r="E93" s="39">
        <f>=(D93/D111)</f>
      </c>
      <c r="F93" s="40">
        <v>52923.6</v>
      </c>
      <c r="G93" s="40">
        <v>50644.26</v>
      </c>
      <c r="H93" s="40">
        <v>61148.5</v>
      </c>
      <c r="I93" s="40">
        <v>51829.5</v>
      </c>
      <c r="J93" s="40">
        <v>58240.64</v>
      </c>
      <c r="K93" s="40">
        <v>60368.59</v>
      </c>
      <c r="L93" s="50">
        <v>0</v>
      </c>
    </row>
    <row r="94">
      <c r="B94" s="45" t="s">
        <v>351</v>
      </c>
      <c r="C94" s="37" t="s">
        <v>352</v>
      </c>
      <c r="D94" s="38">
        <f>=SUM(F94:L94)</f>
      </c>
      <c r="E94" s="39">
        <f>=(D94/D111)</f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50">
        <v>0</v>
      </c>
    </row>
    <row r="95">
      <c r="B95" s="45" t="s">
        <v>353</v>
      </c>
      <c r="C95" s="37" t="s">
        <v>354</v>
      </c>
      <c r="D95" s="38">
        <f>=SUM(F95:L95)</f>
      </c>
      <c r="E95" s="39">
        <f>=(D95/D111)</f>
      </c>
      <c r="F95" s="40">
        <v>498.29</v>
      </c>
      <c r="G95" s="40">
        <v>463.74</v>
      </c>
      <c r="H95" s="40">
        <v>595.66</v>
      </c>
      <c r="I95" s="40">
        <v>627.37</v>
      </c>
      <c r="J95" s="40">
        <v>962.13</v>
      </c>
      <c r="K95" s="40">
        <v>616.8</v>
      </c>
      <c r="L95" s="50">
        <v>0</v>
      </c>
    </row>
    <row r="96">
      <c r="B96" s="45" t="s">
        <v>355</v>
      </c>
      <c r="C96" s="37" t="s">
        <v>356</v>
      </c>
      <c r="D96" s="38">
        <f>=SUM(F96:L96)</f>
      </c>
      <c r="E96" s="39">
        <f>=(D96/D111)</f>
      </c>
      <c r="F96" s="40">
        <v>6479.11</v>
      </c>
      <c r="G96" s="40">
        <v>5493.99</v>
      </c>
      <c r="H96" s="40">
        <v>6108.65</v>
      </c>
      <c r="I96" s="40">
        <v>4764.87</v>
      </c>
      <c r="J96" s="40">
        <v>3459.4</v>
      </c>
      <c r="K96" s="40">
        <v>2685.14</v>
      </c>
      <c r="L96" s="50">
        <v>0</v>
      </c>
    </row>
    <row r="97">
      <c r="B97" s="45" t="s">
        <v>357</v>
      </c>
      <c r="C97" s="37" t="s">
        <v>358</v>
      </c>
      <c r="D97" s="38">
        <f>=SUM(F97:L97)</f>
      </c>
      <c r="E97" s="39">
        <f>=(D97/D111)</f>
      </c>
      <c r="F97" s="40">
        <v>11890.74</v>
      </c>
      <c r="G97" s="40">
        <v>11497.61</v>
      </c>
      <c r="H97" s="40">
        <v>14350.59</v>
      </c>
      <c r="I97" s="40">
        <v>15033.57</v>
      </c>
      <c r="J97" s="40">
        <v>18619.36</v>
      </c>
      <c r="K97" s="40">
        <v>19508.82</v>
      </c>
      <c r="L97" s="50">
        <v>0</v>
      </c>
    </row>
    <row r="98">
      <c r="B98" s="45" t="s">
        <v>359</v>
      </c>
      <c r="C98" s="37" t="s">
        <v>360</v>
      </c>
      <c r="D98" s="38">
        <f>=SUM(F98:L98)</f>
      </c>
      <c r="E98" s="39">
        <f>=(D98/D111)</f>
      </c>
      <c r="F98" s="40">
        <v>11.41</v>
      </c>
      <c r="G98" s="40">
        <v>12.76</v>
      </c>
      <c r="H98" s="40">
        <v>10.02</v>
      </c>
      <c r="I98" s="40">
        <v>10.91</v>
      </c>
      <c r="J98" s="40">
        <v>10.63</v>
      </c>
      <c r="K98" s="40">
        <v>8.29</v>
      </c>
      <c r="L98" s="50">
        <v>0</v>
      </c>
    </row>
    <row r="99">
      <c r="B99" s="45" t="s">
        <v>361</v>
      </c>
      <c r="C99" s="37" t="s">
        <v>362</v>
      </c>
      <c r="D99" s="38">
        <f>=SUM(F99:L99)</f>
      </c>
      <c r="E99" s="39">
        <f>=(D99/D111)</f>
      </c>
      <c r="F99" s="40">
        <v>307.49</v>
      </c>
      <c r="G99" s="40">
        <v>286.56</v>
      </c>
      <c r="H99" s="40">
        <v>273.3</v>
      </c>
      <c r="I99" s="40">
        <v>274.34</v>
      </c>
      <c r="J99" s="40">
        <v>365.17</v>
      </c>
      <c r="K99" s="40">
        <v>1.99</v>
      </c>
      <c r="L99" s="50">
        <v>0</v>
      </c>
    </row>
    <row r="100">
      <c r="B100" s="45" t="s">
        <v>363</v>
      </c>
      <c r="C100" s="37" t="s">
        <v>364</v>
      </c>
      <c r="D100" s="38">
        <f>=SUM(F100:L100)</f>
      </c>
      <c r="E100" s="39">
        <f>=(D100/D111)</f>
      </c>
      <c r="F100" s="40">
        <v>274.92</v>
      </c>
      <c r="G100" s="40">
        <v>252.86</v>
      </c>
      <c r="H100" s="40">
        <v>287.55</v>
      </c>
      <c r="I100" s="40">
        <v>257.72</v>
      </c>
      <c r="J100" s="40">
        <v>275.5</v>
      </c>
      <c r="K100" s="40">
        <v>284.9</v>
      </c>
      <c r="L100" s="50">
        <v>0</v>
      </c>
    </row>
    <row r="101">
      <c r="B101" s="45" t="s">
        <v>365</v>
      </c>
      <c r="C101" s="37" t="s">
        <v>366</v>
      </c>
      <c r="D101" s="38">
        <f>=SUM(F101:L101)</f>
      </c>
      <c r="E101" s="39">
        <f>=(D101/D111)</f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50">
        <v>0</v>
      </c>
    </row>
    <row r="102">
      <c r="B102" s="45" t="s">
        <v>367</v>
      </c>
      <c r="C102" s="37" t="s">
        <v>368</v>
      </c>
      <c r="D102" s="38">
        <f>=SUM(F102:L102)</f>
      </c>
      <c r="E102" s="39">
        <f>=(D102/D111)</f>
      </c>
      <c r="F102" s="40">
        <v>2033.32</v>
      </c>
      <c r="G102" s="40">
        <v>2939.17</v>
      </c>
      <c r="H102" s="40">
        <v>3837.49</v>
      </c>
      <c r="I102" s="40">
        <v>2520.45</v>
      </c>
      <c r="J102" s="40">
        <v>4241.25</v>
      </c>
      <c r="K102" s="40">
        <v>4558.67</v>
      </c>
      <c r="L102" s="50">
        <v>0</v>
      </c>
    </row>
    <row r="103">
      <c r="B103" s="45" t="s">
        <v>369</v>
      </c>
      <c r="C103" s="37" t="s">
        <v>370</v>
      </c>
      <c r="D103" s="38">
        <f>=SUM(F103:L103)</f>
      </c>
      <c r="E103" s="39">
        <f>=(D103/D111)</f>
      </c>
      <c r="F103" s="40">
        <v>1036.21</v>
      </c>
      <c r="G103" s="40">
        <v>696.88</v>
      </c>
      <c r="H103" s="40">
        <v>630.46</v>
      </c>
      <c r="I103" s="40">
        <v>806.12</v>
      </c>
      <c r="J103" s="40">
        <v>991.09</v>
      </c>
      <c r="K103" s="40">
        <v>747</v>
      </c>
      <c r="L103" s="50">
        <v>0</v>
      </c>
    </row>
    <row r="104">
      <c r="B104" s="45" t="s">
        <v>371</v>
      </c>
      <c r="C104" s="37" t="s">
        <v>372</v>
      </c>
      <c r="D104" s="38">
        <f>=SUM(F104:L104)</f>
      </c>
      <c r="E104" s="39">
        <f>=(D104/D111)</f>
      </c>
      <c r="F104" s="40">
        <v>63.64</v>
      </c>
      <c r="G104" s="40">
        <v>344.8</v>
      </c>
      <c r="H104" s="40">
        <v>343.08</v>
      </c>
      <c r="I104" s="40">
        <v>303.22</v>
      </c>
      <c r="J104" s="40">
        <v>243.89</v>
      </c>
      <c r="K104" s="40">
        <v>55</v>
      </c>
      <c r="L104" s="50">
        <v>0</v>
      </c>
    </row>
    <row r="105">
      <c r="B105" s="45" t="s">
        <v>373</v>
      </c>
      <c r="C105" s="37" t="s">
        <v>374</v>
      </c>
      <c r="D105" s="38">
        <f>=SUM(F105:L105)</f>
      </c>
      <c r="E105" s="39">
        <f>=(D105/D111)</f>
      </c>
      <c r="F105" s="40">
        <v>36513.6</v>
      </c>
      <c r="G105" s="40">
        <v>34522.35</v>
      </c>
      <c r="H105" s="40">
        <v>41790</v>
      </c>
      <c r="I105" s="40">
        <v>39915.15</v>
      </c>
      <c r="J105" s="40">
        <v>41804.59</v>
      </c>
      <c r="K105" s="40">
        <v>38725.05</v>
      </c>
      <c r="L105" s="50">
        <v>0</v>
      </c>
    </row>
    <row r="106">
      <c r="B106" s="45" t="s">
        <v>375</v>
      </c>
      <c r="C106" s="37" t="s">
        <v>376</v>
      </c>
      <c r="D106" s="38">
        <f>=SUM(F106:L106)</f>
      </c>
      <c r="E106" s="39">
        <f>=(D106/D111)</f>
      </c>
      <c r="F106" s="40">
        <v>284.32</v>
      </c>
      <c r="G106" s="40">
        <v>232.33</v>
      </c>
      <c r="H106" s="40">
        <v>588.6</v>
      </c>
      <c r="I106" s="40">
        <v>501.52</v>
      </c>
      <c r="J106" s="40">
        <v>544.59</v>
      </c>
      <c r="K106" s="40">
        <v>423.23</v>
      </c>
      <c r="L106" s="50">
        <v>0</v>
      </c>
    </row>
    <row r="107">
      <c r="B107" s="45" t="s">
        <v>377</v>
      </c>
      <c r="C107" s="37" t="s">
        <v>378</v>
      </c>
      <c r="D107" s="38">
        <f>=SUM(F107:L107)</f>
      </c>
      <c r="E107" s="39">
        <f>=(D107/D111)</f>
      </c>
      <c r="F107" s="40">
        <v>421.43</v>
      </c>
      <c r="G107" s="40">
        <v>406.47</v>
      </c>
      <c r="H107" s="40">
        <v>549.6</v>
      </c>
      <c r="I107" s="40">
        <v>509.42</v>
      </c>
      <c r="J107" s="40">
        <v>662.8</v>
      </c>
      <c r="K107" s="40">
        <v>702.75</v>
      </c>
      <c r="L107" s="50">
        <v>0</v>
      </c>
    </row>
    <row r="108">
      <c r="B108" s="45" t="s">
        <v>379</v>
      </c>
      <c r="C108" s="37" t="s">
        <v>380</v>
      </c>
      <c r="D108" s="38">
        <f>=SUM(F108:L108)</f>
      </c>
      <c r="E108" s="39">
        <f>=(D108/D111)</f>
      </c>
      <c r="F108" s="40">
        <v>18.49</v>
      </c>
      <c r="G108" s="40">
        <v>11.32</v>
      </c>
      <c r="H108" s="40">
        <v>13.63</v>
      </c>
      <c r="I108" s="40">
        <v>8.79</v>
      </c>
      <c r="J108" s="40">
        <v>13.61</v>
      </c>
      <c r="K108" s="40">
        <v>11.16</v>
      </c>
      <c r="L108" s="50">
        <v>0</v>
      </c>
    </row>
    <row r="109">
      <c r="B109" s="45" t="s">
        <v>381</v>
      </c>
      <c r="C109" s="37" t="s">
        <v>382</v>
      </c>
      <c r="D109" s="38">
        <f>=SUM(F109:L109)</f>
      </c>
      <c r="E109" s="39">
        <f>=(D109/D111)</f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50">
        <v>0</v>
      </c>
    </row>
    <row r="110">
      <c r="B110" s="26"/>
      <c r="L110" s="33"/>
    </row>
    <row r="111">
      <c r="B111" s="46" t="s">
        <v>383</v>
      </c>
      <c r="C111" s="2"/>
      <c r="D111" s="35">
        <f>=SUM(D3:D109)</f>
      </c>
      <c r="E111" s="36">
        <f>=D111/D112</f>
      </c>
      <c r="L111" s="33"/>
    </row>
    <row r="112">
      <c r="B112" s="47" t="s">
        <v>384</v>
      </c>
      <c r="C112" s="2"/>
      <c r="D112" s="35">
        <f>'Feedsales Statistics'!N113</f>
      </c>
      <c r="L112" s="33"/>
    </row>
    <row r="113">
      <c r="B113" s="26"/>
      <c r="L113" s="33"/>
    </row>
    <row r="114">
      <c r="B114" s="46" t="s">
        <v>385</v>
      </c>
      <c r="C114" s="2"/>
      <c r="D114" s="14">
        <v>0</v>
      </c>
      <c r="E114" s="36">
        <f>='Raw Material Usage'!D39</f>
      </c>
      <c r="L114" s="33"/>
    </row>
    <row r="115">
      <c r="B115" s="46" t="s">
        <v>386</v>
      </c>
      <c r="C115" s="2"/>
      <c r="D115" s="14">
        <v>0</v>
      </c>
      <c r="E115" s="36">
        <f>='Raw Material Usage'!D41</f>
      </c>
      <c r="L115" s="33"/>
    </row>
    <row r="116">
      <c r="B116" s="48" t="s">
        <v>387</v>
      </c>
      <c r="C116" s="19"/>
      <c r="D116" s="42">
        <v>6651</v>
      </c>
      <c r="E116" s="43">
        <f>='Raw Material Usage'!D40</f>
      </c>
      <c r="F116" s="21"/>
      <c r="G116" s="21"/>
      <c r="H116" s="21"/>
      <c r="I116" s="21"/>
      <c r="J116" s="21"/>
      <c r="K116" s="21"/>
      <c r="L116" s="34"/>
    </row>
  </sheetData>
  <mergeCells>
    <mergeCell ref="B2:C2"/>
    <mergeCell ref="B111:C111"/>
    <mergeCell ref="B112:C112"/>
    <mergeCell ref="B114:C114"/>
    <mergeCell ref="B115:C115"/>
    <mergeCell ref="B116:C11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2:G42"/>
  <sheetViews>
    <sheetView workbookViewId="0"/>
  </sheetViews>
  <sheetFormatPr defaultRowHeight="14.25" customHeight="1"/>
  <cols>
    <col min="1" max="16384" width="2" customWidth="1" style="1"/>
    <col min="2" max="2" width="60" customWidth="1" style="1"/>
    <col min="3" max="3" width="12" customWidth="1" style="1"/>
    <col min="4" max="4" width="12" customWidth="1" style="1"/>
    <col min="5" max="5" width="9.140625" customWidth="1" style="1"/>
    <col min="6" max="6" width="12" customWidth="1" style="1"/>
    <col min="7" max="7" width="12" customWidth="1" style="1"/>
    <col min="8" max="16384" width="9.140625" customWidth="1" style="1"/>
  </cols>
  <sheetData>
    <row r="2" ht="35" customHeight="1">
      <c r="B2" s="44" t="s">
        <v>166</v>
      </c>
      <c r="C2" s="41"/>
      <c r="D2" s="41"/>
      <c r="E2" s="41"/>
      <c r="F2" s="41"/>
      <c r="G2" s="70"/>
    </row>
    <row r="3">
      <c r="B3" s="26"/>
      <c r="G3" s="33"/>
    </row>
    <row r="4">
      <c r="B4" s="63" t="s">
        <v>388</v>
      </c>
      <c r="C4" s="51" t="s">
        <v>388</v>
      </c>
      <c r="D4" s="51" t="s">
        <v>388</v>
      </c>
      <c r="E4" s="51" t="s">
        <v>388</v>
      </c>
      <c r="F4" s="51" t="s">
        <v>388</v>
      </c>
      <c r="G4" s="71" t="s">
        <v>388</v>
      </c>
    </row>
    <row r="5">
      <c r="B5" s="26"/>
      <c r="G5" s="33"/>
    </row>
    <row r="6">
      <c r="B6" s="64" t="s">
        <v>389</v>
      </c>
      <c r="C6" s="54" t="s">
        <v>389</v>
      </c>
      <c r="D6" s="55" t="s">
        <v>389</v>
      </c>
      <c r="F6" s="53" t="s">
        <v>390</v>
      </c>
      <c r="G6" s="72" t="s">
        <v>390</v>
      </c>
    </row>
    <row r="7">
      <c r="B7" s="26"/>
      <c r="G7" s="33"/>
    </row>
    <row r="8" ht="30" customHeight="1">
      <c r="B8" s="65" t="s">
        <v>391</v>
      </c>
      <c r="C8" s="56" t="s">
        <v>392</v>
      </c>
      <c r="D8" s="57" t="s">
        <v>168</v>
      </c>
      <c r="F8" s="57" t="s">
        <v>392</v>
      </c>
      <c r="G8" s="73" t="s">
        <v>168</v>
      </c>
    </row>
    <row r="9">
      <c r="B9" s="66" t="s">
        <v>393</v>
      </c>
      <c r="C9" s="11">
        <v>15548</v>
      </c>
      <c r="D9" s="15">
        <f>C9/'Raw Material Statistics'!D111</f>
      </c>
      <c r="F9" s="11">
        <v>19413</v>
      </c>
      <c r="G9" s="74">
        <f>F9/'Raw Material Statistics'!D111</f>
      </c>
    </row>
    <row r="10">
      <c r="B10" s="66" t="s">
        <v>394</v>
      </c>
      <c r="C10" s="11">
        <v>1682</v>
      </c>
      <c r="D10" s="15">
        <f>C10/'Raw Material Statistics'!D111</f>
      </c>
      <c r="F10" s="11">
        <v>2904</v>
      </c>
      <c r="G10" s="74">
        <f>F10/'Raw Material Statistics'!D111</f>
      </c>
    </row>
    <row r="11">
      <c r="B11" s="66" t="s">
        <v>395</v>
      </c>
      <c r="C11" s="11">
        <v>7677</v>
      </c>
      <c r="D11" s="15">
        <f>C11/'Raw Material Statistics'!D111</f>
      </c>
      <c r="F11" s="11">
        <v>2344</v>
      </c>
      <c r="G11" s="74">
        <f>F11/'Raw Material Statistics'!D111</f>
      </c>
    </row>
    <row r="12">
      <c r="B12" s="66" t="s">
        <v>396</v>
      </c>
      <c r="C12" s="11">
        <v>64</v>
      </c>
      <c r="D12" s="15">
        <f>C12/'Raw Material Statistics'!D111</f>
      </c>
      <c r="F12" s="11">
        <v>211</v>
      </c>
      <c r="G12" s="74">
        <f>F12/'Raw Material Statistics'!D111</f>
      </c>
    </row>
    <row r="13">
      <c r="B13" s="66" t="s">
        <v>397</v>
      </c>
      <c r="C13" s="11">
        <v>3459</v>
      </c>
      <c r="D13" s="15">
        <f>C13/'Raw Material Statistics'!D111</f>
      </c>
      <c r="F13" s="11">
        <v>3560</v>
      </c>
      <c r="G13" s="74">
        <f>F13/'Raw Material Statistics'!D111</f>
      </c>
    </row>
    <row r="14">
      <c r="B14" s="66" t="s">
        <v>398</v>
      </c>
      <c r="C14" s="11">
        <v>64739</v>
      </c>
      <c r="D14" s="15">
        <f>C14/'Raw Material Statistics'!D111</f>
      </c>
      <c r="F14" s="11">
        <v>60258</v>
      </c>
      <c r="G14" s="74">
        <f>F14/'Raw Material Statistics'!D111</f>
      </c>
    </row>
    <row r="15">
      <c r="B15" s="66" t="s">
        <v>399</v>
      </c>
      <c r="C15" s="11">
        <v>22</v>
      </c>
      <c r="D15" s="15">
        <f>C15/'Raw Material Statistics'!D111</f>
      </c>
      <c r="F15" s="11">
        <v>0</v>
      </c>
      <c r="G15" s="74">
        <f>F15/'Raw Material Statistics'!D111</f>
      </c>
    </row>
    <row r="16">
      <c r="B16" s="66" t="s">
        <v>274</v>
      </c>
      <c r="C16" s="11">
        <v>0</v>
      </c>
      <c r="D16" s="15">
        <f>C16/'Raw Material Statistics'!D111</f>
      </c>
      <c r="F16" s="11">
        <v>1739</v>
      </c>
      <c r="G16" s="74">
        <f>F16/'Raw Material Statistics'!D111</f>
      </c>
    </row>
    <row r="17">
      <c r="B17" s="66" t="s">
        <v>400</v>
      </c>
      <c r="C17" s="11">
        <v>506619</v>
      </c>
      <c r="D17" s="15">
        <f>C17/'Raw Material Statistics'!D111</f>
      </c>
      <c r="F17" s="11">
        <v>609126</v>
      </c>
      <c r="G17" s="74">
        <f>F17/'Raw Material Statistics'!D111</f>
      </c>
    </row>
    <row r="18">
      <c r="B18" s="66" t="s">
        <v>401</v>
      </c>
      <c r="C18" s="11">
        <v>119892</v>
      </c>
      <c r="D18" s="15">
        <f>C18/'Raw Material Statistics'!D111</f>
      </c>
      <c r="F18" s="11">
        <v>138391</v>
      </c>
      <c r="G18" s="74">
        <f>F18/'Raw Material Statistics'!D111</f>
      </c>
    </row>
    <row r="19">
      <c r="B19" s="67" t="s">
        <v>402</v>
      </c>
      <c r="C19" s="58">
        <f>=SUM(C9:C18)</f>
      </c>
      <c r="D19" s="59">
        <f>=SUM(D9:D18)</f>
      </c>
      <c r="F19" s="58">
        <f>=SUM(F9:F18)</f>
      </c>
      <c r="G19" s="75">
        <f>=SUM(G9:G18)</f>
      </c>
    </row>
    <row r="20">
      <c r="B20" s="26"/>
      <c r="G20" s="33"/>
    </row>
    <row r="21">
      <c r="B21" s="26"/>
      <c r="G21" s="33"/>
    </row>
    <row r="22">
      <c r="B22" s="63" t="s">
        <v>403</v>
      </c>
      <c r="C22" s="51" t="s">
        <v>403</v>
      </c>
      <c r="D22" s="51" t="s">
        <v>403</v>
      </c>
      <c r="E22" s="51" t="s">
        <v>403</v>
      </c>
      <c r="F22" s="51" t="s">
        <v>403</v>
      </c>
      <c r="G22" s="71" t="s">
        <v>403</v>
      </c>
    </row>
    <row r="23">
      <c r="B23" s="26"/>
      <c r="G23" s="33"/>
    </row>
    <row r="24">
      <c r="B24" s="64" t="s">
        <v>389</v>
      </c>
      <c r="C24" s="54" t="s">
        <v>389</v>
      </c>
      <c r="D24" s="55" t="s">
        <v>389</v>
      </c>
      <c r="F24" s="53" t="s">
        <v>390</v>
      </c>
      <c r="G24" s="72" t="s">
        <v>390</v>
      </c>
    </row>
    <row r="25">
      <c r="B25" s="26"/>
      <c r="G25" s="33"/>
    </row>
    <row r="26" ht="30" customHeight="1">
      <c r="B26" s="65" t="s">
        <v>391</v>
      </c>
      <c r="C26" s="56" t="s">
        <v>392</v>
      </c>
      <c r="D26" s="57" t="s">
        <v>168</v>
      </c>
      <c r="F26" s="57" t="s">
        <v>392</v>
      </c>
      <c r="G26" s="73" t="s">
        <v>168</v>
      </c>
    </row>
    <row r="27">
      <c r="B27" s="66" t="s">
        <v>404</v>
      </c>
      <c r="C27" s="11">
        <v>5313</v>
      </c>
      <c r="D27" s="15">
        <f>C27/'Raw Material Statistics'!D111</f>
      </c>
      <c r="F27" s="11">
        <v>6394</v>
      </c>
      <c r="G27" s="74">
        <f>F27/'Raw Material Statistics'!D111</f>
      </c>
    </row>
    <row r="28">
      <c r="B28" s="66" t="s">
        <v>248</v>
      </c>
      <c r="C28" s="11">
        <v>58399</v>
      </c>
      <c r="D28" s="15">
        <f>C28/'Raw Material Statistics'!D111</f>
      </c>
      <c r="F28" s="11">
        <v>68653</v>
      </c>
      <c r="G28" s="74">
        <f>F28/'Raw Material Statistics'!D111</f>
      </c>
    </row>
    <row r="29">
      <c r="B29" s="66" t="s">
        <v>405</v>
      </c>
      <c r="C29" s="11">
        <v>1654198</v>
      </c>
      <c r="D29" s="15">
        <f>C29/'Raw Material Statistics'!D111</f>
      </c>
      <c r="F29" s="11">
        <v>1940927</v>
      </c>
      <c r="G29" s="74">
        <f>F29/'Raw Material Statistics'!D111</f>
      </c>
    </row>
    <row r="30">
      <c r="B30" s="66" t="s">
        <v>406</v>
      </c>
      <c r="C30" s="11">
        <v>3712</v>
      </c>
      <c r="D30" s="15">
        <f>C30/'Raw Material Statistics'!D111</f>
      </c>
      <c r="F30" s="11">
        <v>18454</v>
      </c>
      <c r="G30" s="74">
        <f>F30/'Raw Material Statistics'!D111</f>
      </c>
    </row>
    <row r="31">
      <c r="B31" s="66" t="s">
        <v>274</v>
      </c>
      <c r="C31" s="11">
        <v>0</v>
      </c>
      <c r="D31" s="15">
        <f>C31/'Raw Material Statistics'!D111</f>
      </c>
      <c r="F31" s="11">
        <v>1739</v>
      </c>
      <c r="G31" s="74">
        <f>F31/'Raw Material Statistics'!D111</f>
      </c>
    </row>
    <row r="32">
      <c r="B32" s="66" t="s">
        <v>276</v>
      </c>
      <c r="C32" s="11">
        <v>32295</v>
      </c>
      <c r="D32" s="15">
        <f>C32/'Raw Material Statistics'!D111</f>
      </c>
      <c r="F32" s="11">
        <v>38569</v>
      </c>
      <c r="G32" s="74">
        <f>F32/'Raw Material Statistics'!D111</f>
      </c>
    </row>
    <row r="33">
      <c r="B33" s="66" t="s">
        <v>278</v>
      </c>
      <c r="C33" s="11">
        <v>8099</v>
      </c>
      <c r="D33" s="15">
        <f>C33/'Raw Material Statistics'!D111</f>
      </c>
      <c r="F33" s="11">
        <v>6690</v>
      </c>
      <c r="G33" s="74">
        <f>F33/'Raw Material Statistics'!D111</f>
      </c>
    </row>
    <row r="34">
      <c r="B34" s="66" t="s">
        <v>280</v>
      </c>
      <c r="C34" s="11">
        <v>9233</v>
      </c>
      <c r="D34" s="15">
        <f>C34/'Raw Material Statistics'!D111</f>
      </c>
      <c r="F34" s="11">
        <v>7327</v>
      </c>
      <c r="G34" s="74">
        <f>F34/'Raw Material Statistics'!D111</f>
      </c>
    </row>
    <row r="35">
      <c r="B35" s="66" t="s">
        <v>282</v>
      </c>
      <c r="C35" s="11">
        <v>3888</v>
      </c>
      <c r="D35" s="15">
        <f>C35/'Raw Material Statistics'!D111</f>
      </c>
      <c r="F35" s="11">
        <v>4369</v>
      </c>
      <c r="G35" s="74">
        <f>F35/'Raw Material Statistics'!D111</f>
      </c>
    </row>
    <row r="36">
      <c r="B36" s="67" t="s">
        <v>407</v>
      </c>
      <c r="C36" s="58">
        <f>=SUM(C27:C35)</f>
      </c>
      <c r="D36" s="59">
        <f>=SUM(D27:D35)</f>
      </c>
      <c r="F36" s="58">
        <f>=SUM(F27:F35)</f>
      </c>
      <c r="G36" s="76">
        <f>=SUM(G27:G35)</f>
      </c>
    </row>
    <row r="37">
      <c r="B37" s="26"/>
      <c r="G37" s="33"/>
    </row>
    <row r="38">
      <c r="B38" s="63" t="s">
        <v>408</v>
      </c>
      <c r="C38" s="51" t="s">
        <v>408</v>
      </c>
      <c r="D38" s="52" t="s">
        <v>408</v>
      </c>
      <c r="G38" s="33"/>
    </row>
    <row r="39">
      <c r="B39" s="68" t="s">
        <v>409</v>
      </c>
      <c r="C39" s="60">
        <f>=C36</f>
      </c>
      <c r="D39" s="61">
        <f>=D36</f>
      </c>
      <c r="G39" s="33"/>
    </row>
    <row r="40">
      <c r="B40" s="68" t="s">
        <v>410</v>
      </c>
      <c r="C40" s="14">
        <v>6651</v>
      </c>
      <c r="D40" s="61">
        <f>(C40/'Raw Material Statistics'!D111)</f>
      </c>
      <c r="G40" s="33"/>
    </row>
    <row r="41">
      <c r="B41" s="68" t="s">
        <v>388</v>
      </c>
      <c r="C41" s="60">
        <f>=C19</f>
      </c>
      <c r="D41" s="61">
        <f>=D19</f>
      </c>
      <c r="G41" s="33"/>
    </row>
    <row r="42">
      <c r="B42" s="69" t="s">
        <v>411</v>
      </c>
      <c r="C42" s="62">
        <f>'Feedsales Statistics'!N113</f>
      </c>
      <c r="D42" s="21"/>
      <c r="E42" s="21"/>
      <c r="F42" s="21"/>
      <c r="G42" s="34"/>
    </row>
  </sheetData>
  <mergeCells>
    <mergeCell ref="B4:G4"/>
    <mergeCell ref="B6:D6"/>
    <mergeCell ref="F6:G6"/>
    <mergeCell ref="B22:G22"/>
    <mergeCell ref="B24:D24"/>
    <mergeCell ref="F24:G24"/>
    <mergeCell ref="B38:D3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www.afma.co.za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AFMA</dc:creator>
  <dc:title>AFMA Total Feedsales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